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NAJI\Downloads\"/>
    </mc:Choice>
  </mc:AlternateContent>
  <xr:revisionPtr revIDLastSave="0" documentId="8_{DC9804A1-5F24-4240-B438-449EDECD0B7F}" xr6:coauthVersionLast="47" xr6:coauthVersionMax="47" xr10:uidLastSave="{00000000-0000-0000-0000-000000000000}"/>
  <bookViews>
    <workbookView xWindow="-30" yWindow="-16320" windowWidth="29040" windowHeight="15720" tabRatio="792" activeTab="1" xr2:uid="{DFB74E98-D94C-4E64-8AA6-0DA31BBA4CB3}"/>
  </bookViews>
  <sheets>
    <sheet name="BC migration (T2) (2)" sheetId="8" r:id="rId1"/>
    <sheet name="BC Non-Permanent Residents (T3)" sheetId="7" r:id="rId2"/>
    <sheet name="Net Interprovincial Flow (T1)" sheetId="4" r:id="rId3"/>
  </sheets>
  <definedNames>
    <definedName name="_xlnm._FilterDatabase" localSheetId="0" hidden="1">'BC migration (T2) (2)'!$A$1:$A$43</definedName>
    <definedName name="_xlnm.Print_Area" localSheetId="0">'BC migration (T2) (2)'!$A$2:$P$37</definedName>
    <definedName name="_xlnm.Print_Area" localSheetId="2">'Net Interprovincial Flow (T1)'!$A$1:$O$32</definedName>
    <definedName name="_xlnm.Print_Titles" localSheetId="0">'BC migration (T2) (2)'!$1:$1</definedName>
    <definedName name="_xlnm.Print_Titles" localSheetId="2">'Net Interprovincial Flow (T1)'!$1:$7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8" l="1"/>
  <c r="A13" i="8" s="1"/>
  <c r="A17" i="8" s="1"/>
  <c r="A21" i="8" s="1"/>
  <c r="A25" i="8" s="1"/>
  <c r="A29" i="8" s="1"/>
  <c r="A33" i="8" s="1"/>
  <c r="I2" i="8"/>
  <c r="J2" i="8" s="1"/>
  <c r="M2" i="8"/>
  <c r="P2" i="8"/>
  <c r="I3" i="8"/>
  <c r="J3" i="8" s="1"/>
  <c r="M3" i="8"/>
  <c r="P3" i="8"/>
  <c r="I4" i="8"/>
  <c r="J4" i="8" s="1"/>
  <c r="M4" i="8"/>
  <c r="P4" i="8"/>
  <c r="I5" i="8"/>
  <c r="J5" i="8" s="1"/>
  <c r="M5" i="8"/>
  <c r="P5" i="8"/>
  <c r="I6" i="8"/>
  <c r="J6" i="8" s="1"/>
  <c r="A11" i="8"/>
  <c r="A15" i="8" s="1"/>
  <c r="A19" i="8" s="1"/>
  <c r="A23" i="8" s="1"/>
  <c r="A27" i="8" s="1"/>
  <c r="A31" i="8" s="1"/>
  <c r="A12" i="8"/>
  <c r="A16" i="8" s="1"/>
  <c r="A20" i="8" s="1"/>
  <c r="A24" i="8" s="1"/>
  <c r="A10" i="8"/>
  <c r="A14" i="8" s="1"/>
  <c r="A18" i="8" s="1"/>
  <c r="A22" i="8" s="1"/>
  <c r="A26" i="8" s="1"/>
  <c r="A30" i="8" s="1"/>
  <c r="P33" i="8"/>
  <c r="M33" i="8"/>
  <c r="I33" i="8"/>
  <c r="E33" i="8"/>
  <c r="P32" i="8"/>
  <c r="M32" i="8"/>
  <c r="I32" i="8"/>
  <c r="E32" i="8"/>
  <c r="P31" i="8"/>
  <c r="M31" i="8"/>
  <c r="I31" i="8"/>
  <c r="E31" i="8"/>
  <c r="P30" i="8"/>
  <c r="M30" i="8"/>
  <c r="I30" i="8"/>
  <c r="E30" i="8"/>
  <c r="P29" i="8"/>
  <c r="M29" i="8"/>
  <c r="I29" i="8"/>
  <c r="E29" i="8"/>
  <c r="P28" i="8"/>
  <c r="M28" i="8"/>
  <c r="I28" i="8"/>
  <c r="E28" i="8"/>
  <c r="P27" i="8"/>
  <c r="M27" i="8"/>
  <c r="I27" i="8"/>
  <c r="E27" i="8"/>
  <c r="P26" i="8"/>
  <c r="M26" i="8"/>
  <c r="I26" i="8"/>
  <c r="E26" i="8"/>
  <c r="P25" i="8"/>
  <c r="M25" i="8"/>
  <c r="I25" i="8"/>
  <c r="E25" i="8"/>
  <c r="P24" i="8"/>
  <c r="M24" i="8"/>
  <c r="I24" i="8"/>
  <c r="E24" i="8"/>
  <c r="P23" i="8"/>
  <c r="M23" i="8"/>
  <c r="I23" i="8"/>
  <c r="E23" i="8"/>
  <c r="P22" i="8"/>
  <c r="M22" i="8"/>
  <c r="I22" i="8"/>
  <c r="E22" i="8"/>
  <c r="P21" i="8"/>
  <c r="M21" i="8"/>
  <c r="I21" i="8"/>
  <c r="E21" i="8"/>
  <c r="P20" i="8"/>
  <c r="M20" i="8"/>
  <c r="I20" i="8"/>
  <c r="E20" i="8"/>
  <c r="P19" i="8"/>
  <c r="M19" i="8"/>
  <c r="I19" i="8"/>
  <c r="E19" i="8"/>
  <c r="P18" i="8"/>
  <c r="M18" i="8"/>
  <c r="I18" i="8"/>
  <c r="E18" i="8"/>
  <c r="P17" i="8"/>
  <c r="M17" i="8"/>
  <c r="I17" i="8"/>
  <c r="J17" i="8" s="1"/>
  <c r="P16" i="8"/>
  <c r="M16" i="8"/>
  <c r="I16" i="8"/>
  <c r="J16" i="8" s="1"/>
  <c r="P15" i="8"/>
  <c r="M15" i="8"/>
  <c r="I15" i="8"/>
  <c r="J15" i="8" s="1"/>
  <c r="N15" i="8" s="1"/>
  <c r="P14" i="8"/>
  <c r="M14" i="8"/>
  <c r="I14" i="8"/>
  <c r="P13" i="8"/>
  <c r="M13" i="8"/>
  <c r="I13" i="8"/>
  <c r="J13" i="8" s="1"/>
  <c r="P12" i="8"/>
  <c r="M12" i="8"/>
  <c r="I12" i="8"/>
  <c r="J12" i="8" s="1"/>
  <c r="P11" i="8"/>
  <c r="M11" i="8"/>
  <c r="I11" i="8"/>
  <c r="J11" i="8" s="1"/>
  <c r="P10" i="8"/>
  <c r="M10" i="8"/>
  <c r="I10" i="8"/>
  <c r="J10" i="8" s="1"/>
  <c r="P9" i="8"/>
  <c r="M9" i="8"/>
  <c r="I9" i="8"/>
  <c r="J9" i="8" s="1"/>
  <c r="P8" i="8"/>
  <c r="M8" i="8"/>
  <c r="I8" i="8"/>
  <c r="J8" i="8" s="1"/>
  <c r="P7" i="8"/>
  <c r="M7" i="8"/>
  <c r="I7" i="8"/>
  <c r="J7" i="8" s="1"/>
  <c r="P6" i="8"/>
  <c r="M6" i="8"/>
  <c r="C24" i="4"/>
  <c r="C25" i="4"/>
  <c r="C26" i="4"/>
  <c r="C28" i="4"/>
  <c r="J32" i="8" l="1"/>
  <c r="N32" i="8" s="1"/>
  <c r="N16" i="8"/>
  <c r="N5" i="8"/>
  <c r="N4" i="8"/>
  <c r="N3" i="8"/>
  <c r="N2" i="8"/>
  <c r="N11" i="8"/>
  <c r="N12" i="8"/>
  <c r="N10" i="8"/>
  <c r="N7" i="8"/>
  <c r="J27" i="8"/>
  <c r="N27" i="8" s="1"/>
  <c r="J26" i="8"/>
  <c r="N26" i="8" s="1"/>
  <c r="N13" i="8"/>
  <c r="N17" i="8"/>
  <c r="J19" i="8"/>
  <c r="N19" i="8" s="1"/>
  <c r="N9" i="8"/>
  <c r="J21" i="8"/>
  <c r="N21" i="8" s="1"/>
  <c r="N8" i="8"/>
  <c r="J28" i="8"/>
  <c r="N28" i="8" s="1"/>
  <c r="J24" i="8"/>
  <c r="N24" i="8" s="1"/>
  <c r="J31" i="8"/>
  <c r="N31" i="8" s="1"/>
  <c r="J18" i="8"/>
  <c r="J23" i="8"/>
  <c r="N23" i="8" s="1"/>
  <c r="J29" i="8"/>
  <c r="N29" i="8" s="1"/>
  <c r="N6" i="8"/>
  <c r="J33" i="8"/>
  <c r="N33" i="8" s="1"/>
  <c r="J22" i="8"/>
  <c r="J20" i="8"/>
  <c r="N20" i="8" s="1"/>
  <c r="J25" i="8"/>
  <c r="N25" i="8" s="1"/>
  <c r="J14" i="8"/>
  <c r="J30" i="8"/>
  <c r="N30" i="8" s="1"/>
  <c r="N18" i="8" l="1"/>
  <c r="N22" i="8"/>
  <c r="N14" i="8"/>
  <c r="M25" i="4" l="1"/>
  <c r="M24" i="4"/>
  <c r="O24" i="4"/>
  <c r="O25" i="4"/>
  <c r="D24" i="4" l="1"/>
  <c r="E24" i="4"/>
  <c r="F24" i="4"/>
  <c r="G24" i="4"/>
  <c r="H24" i="4"/>
  <c r="I24" i="4"/>
  <c r="J24" i="4"/>
  <c r="K24" i="4"/>
  <c r="L24" i="4"/>
  <c r="N24" i="4"/>
  <c r="D25" i="4"/>
  <c r="E25" i="4"/>
  <c r="F25" i="4"/>
  <c r="G25" i="4"/>
  <c r="H25" i="4"/>
  <c r="I25" i="4"/>
  <c r="J25" i="4"/>
  <c r="K25" i="4"/>
  <c r="L25" i="4"/>
  <c r="N25" i="4"/>
  <c r="O26" i="4"/>
  <c r="O28" i="4" s="1"/>
  <c r="L26" i="4" l="1"/>
  <c r="L28" i="4"/>
  <c r="F26" i="4"/>
  <c r="F28" i="4" s="1"/>
  <c r="I26" i="4"/>
  <c r="I28" i="4" s="1"/>
  <c r="J26" i="4"/>
  <c r="J28" i="4" s="1"/>
  <c r="G26" i="4"/>
  <c r="G28" i="4" s="1"/>
  <c r="M26" i="4"/>
  <c r="M28" i="4" s="1"/>
  <c r="N26" i="4"/>
  <c r="N28" i="4" s="1"/>
  <c r="H26" i="4"/>
  <c r="H28" i="4" s="1"/>
  <c r="E26" i="4"/>
  <c r="E28" i="4" s="1"/>
  <c r="D26" i="4"/>
  <c r="D28" i="4" s="1"/>
  <c r="K26" i="4"/>
  <c r="K28" i="4" s="1"/>
</calcChain>
</file>

<file path=xl/sharedStrings.xml><?xml version="1.0" encoding="utf-8"?>
<sst xmlns="http://schemas.openxmlformats.org/spreadsheetml/2006/main" count="81" uniqueCount="62">
  <si>
    <t>Year</t>
  </si>
  <si>
    <t>03. Asylum claimants with work permit only</t>
  </si>
  <si>
    <t>04. Asylum claimants with study permit only</t>
  </si>
  <si>
    <t>05. Asylum claimants with work and study permits</t>
  </si>
  <si>
    <t>06. Asylum claimants without work or study permits</t>
  </si>
  <si>
    <t>08. Work permit holders only</t>
  </si>
  <si>
    <t>09. Study permit holders only</t>
  </si>
  <si>
    <t>10. Work and study permit holders</t>
  </si>
  <si>
    <t>11. Other</t>
  </si>
  <si>
    <t>01. Total, non-permanent residents</t>
  </si>
  <si>
    <t>"−" indicates no data available. All figures subject to revision.</t>
  </si>
  <si>
    <t>Statistics Canada</t>
  </si>
  <si>
    <t>Data source:</t>
  </si>
  <si>
    <t>Due to revisions on the part of Statistics Canada, the sum of the components may not equal the population change.</t>
  </si>
  <si>
    <t>Date:</t>
  </si>
  <si>
    <t>Net NPR denotes the net change in Non-Permanent Residents.</t>
  </si>
  <si>
    <t>Note:</t>
  </si>
  <si>
    <t>Demographic Analysis, BC Stats</t>
  </si>
  <si>
    <t>Prepared by:</t>
  </si>
  <si>
    <t>Total increase</t>
  </si>
  <si>
    <t>Natural increase</t>
  </si>
  <si>
    <t>Deaths</t>
  </si>
  <si>
    <t>Births</t>
  </si>
  <si>
    <t>Total net migration</t>
  </si>
  <si>
    <t>Quarter</t>
  </si>
  <si>
    <t>NS</t>
  </si>
  <si>
    <t>NB</t>
  </si>
  <si>
    <t>BC</t>
  </si>
  <si>
    <t>Total net</t>
  </si>
  <si>
    <t>Net international</t>
  </si>
  <si>
    <t>Net interprovincial</t>
  </si>
  <si>
    <t>Outflow</t>
  </si>
  <si>
    <t>Inflow</t>
  </si>
  <si>
    <t>Nvt</t>
  </si>
  <si>
    <t>NWT</t>
  </si>
  <si>
    <t>Yukon</t>
  </si>
  <si>
    <t>Alta</t>
  </si>
  <si>
    <t>Sask</t>
  </si>
  <si>
    <t>Man</t>
  </si>
  <si>
    <t>Ont</t>
  </si>
  <si>
    <t>Que</t>
  </si>
  <si>
    <t>PEI</t>
  </si>
  <si>
    <t>Nfld</t>
  </si>
  <si>
    <t>Origin</t>
  </si>
  <si>
    <t>Destination</t>
  </si>
  <si>
    <t>02.Total, asylum claimants</t>
  </si>
  <si>
    <t>07.Total, permit holders and their family members</t>
  </si>
  <si>
    <t xml:space="preserve">Net international migration is calculated as Immigrants plus Net NPR minus Net Emigrants. </t>
  </si>
  <si>
    <t>Statistics Canada. Table 17-10-0121-01  Estimates of the number of non-permanent residents by type, quarterly. https://www150.statcan.gc.ca/t1/tbl1/en/tv.action?pid=1710012101</t>
  </si>
  <si>
    <t>See https://www150.statcan.gc.ca/t1/tbl1/en/tv.action?pid=1710012101 for additional footnotes.</t>
  </si>
  <si>
    <t>Reference 
date</t>
  </si>
  <si>
    <t>These are point-in-time demographic estimates of the number of non-permanent residents in British Columbia, and differ from the numbers of asylum claimants and temporary residents from Immigration, Refugees and Citizenship Canada (IRCC). Care should be taken to consider the differences in methods and reference dates when comparing data from IRCC with Statistics Canada demographic estimates. The two data sources are not fully comparable.</t>
  </si>
  <si>
    <t>Net Emigrants are calculated as Emigrants plus Net Temporary Emigrants minus Returning Emigrants.</t>
  </si>
  <si>
    <t>Table 1: Provincial migration flow (October - December 2025)</t>
  </si>
  <si>
    <t>Table 3: Stock of B.C. Non-Permanent Residents by Permit Type (July 1, 2021 - January 1, 2026)</t>
  </si>
  <si>
    <t>Interprovincial -In</t>
  </si>
  <si>
    <t>Interprovincial - Out</t>
  </si>
  <si>
    <t>Interprovincial - Net</t>
  </si>
  <si>
    <t>International - Immigrants</t>
  </si>
  <si>
    <t>International - Net NPR</t>
  </si>
  <si>
    <t>International - Net Emigrants</t>
  </si>
  <si>
    <t>International -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</si>
</sst>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
    <numFmt numFmtId="165" formatCode="yyyy"/>
    <numFmt numFmtId="166" formatCode="0.0%"/>
    <numFmt numFmtId="167" formatCode="?,??0"/>
    <numFmt numFmtId="168" formatCode="mmmm\ yyyy"/>
    <numFmt numFmtId="169" formatCode="?,???,??0"/>
    <numFmt numFmtId="170" formatCode="_−??,??0;\−??,??0;_−_0_,_0_0\−;@"/>
    <numFmt numFmtId="171" formatCode="#,##0;\−\ #,##0;\—"/>
    <numFmt numFmtId="174" formatCode="#,##0;#,##0;\—"/>
    <numFmt numFmtId="175" formatCode="mmmm\ d\,\ yyyy"/>
    <numFmt numFmtId="176" formatCode="#,##0.0%;\−\ #,##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20"/>
      <color theme="1"/>
      <name val="Calibri"/>
      <family val="2"/>
      <scheme val="minor"/>
    </font>
    <font>
      <sz val="11"/>
      <name val="Calibri"/>
      <family val="2"/>
    </font>
    <font>
      <sz val="10"/>
      <name val="Arial"/>
      <family val="2"/>
    </font>
    <font>
      <sz val="10"/>
      <color theme="1"/>
      <name val="Arial"/>
      <family val="2"/>
    </font>
    <font>
      <sz val="11"/>
      <name val="Calibri"/>
      <family val="2"/>
    </font>
  </fonts>
  <fills count="7">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2"/>
        <bgColor indexed="64"/>
      </patternFill>
    </fill>
  </fills>
  <borders count="24">
    <border>
      <left/>
      <right/>
      <top/>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right/>
      <top/>
      <bottom style="medium">
        <color indexed="64"/>
      </bottom>
      <diagonal/>
    </border>
    <border>
      <left style="medium">
        <color indexed="64"/>
      </left>
      <right/>
      <top/>
      <bottom style="medium">
        <color indexed="64"/>
      </bottom>
      <diagonal/>
    </border>
    <border>
      <left/>
      <right/>
      <top style="thin">
        <color indexed="64"/>
      </top>
      <bottom/>
      <diagonal/>
    </border>
    <border>
      <left style="medium">
        <color indexed="64"/>
      </left>
      <right/>
      <top style="thin">
        <color indexed="64"/>
      </top>
      <bottom/>
      <diagonal/>
    </border>
    <border>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medium">
        <color theme="2"/>
      </left>
      <right/>
      <top/>
      <bottom/>
      <diagonal/>
    </border>
    <border>
      <left style="medium">
        <color theme="2"/>
      </left>
      <right/>
      <top/>
      <bottom style="medium">
        <color theme="2"/>
      </bottom>
      <diagonal/>
    </border>
    <border>
      <left style="medium">
        <color theme="2"/>
      </left>
      <right/>
      <top style="medium">
        <color theme="2"/>
      </top>
      <bottom style="thin">
        <color indexed="64"/>
      </bottom>
      <diagonal/>
    </border>
    <border>
      <left style="medium">
        <color theme="2"/>
      </left>
      <right/>
      <top style="medium">
        <color theme="2"/>
      </top>
      <bottom/>
      <diagonal/>
    </border>
  </borders>
  <cellStyleXfs count="10">
    <xf numFmtId="0" fontId="0" fillId="0" borderId="0"/>
    <xf numFmtId="9"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5" fillId="0" borderId="0"/>
    <xf numFmtId="0" fontId="6" fillId="0" borderId="0"/>
    <xf numFmtId="0" fontId="8" fillId="0" borderId="0"/>
    <xf numFmtId="0" fontId="1" fillId="0" borderId="0"/>
    <xf numFmtId="0" fontId="1" fillId="0" borderId="0"/>
    <xf numFmtId="0" fontId="1" fillId="0" borderId="0"/>
  </cellStyleXfs>
  <cellXfs count="121">
    <xf numFmtId="0" fontId="0" fillId="0" borderId="0" xfId="0"/>
    <xf numFmtId="164" fontId="0" fillId="0" borderId="0" xfId="0" applyNumberFormat="1" applyAlignment="1">
      <alignment horizontal="center"/>
    </xf>
    <xf numFmtId="0" fontId="0" fillId="0" borderId="0" xfId="0" applyAlignment="1">
      <alignment horizontal="center" vertical="center"/>
    </xf>
    <xf numFmtId="164" fontId="0" fillId="0" borderId="0" xfId="0" applyNumberFormat="1" applyAlignment="1">
      <alignment horizontal="left" vertical="center"/>
    </xf>
    <xf numFmtId="165" fontId="0" fillId="0" borderId="0" xfId="0" applyNumberFormat="1" applyAlignment="1">
      <alignment horizontal="right" vertical="center"/>
    </xf>
    <xf numFmtId="3" fontId="3" fillId="0" borderId="0" xfId="0" applyNumberFormat="1" applyFont="1" applyAlignment="1">
      <alignment horizontal="center"/>
    </xf>
    <xf numFmtId="164" fontId="3" fillId="0" borderId="0" xfId="0" applyNumberFormat="1" applyFont="1" applyAlignment="1">
      <alignment horizontal="center"/>
    </xf>
    <xf numFmtId="171" fontId="3" fillId="0" borderId="0" xfId="0" applyNumberFormat="1" applyFont="1" applyAlignment="1">
      <alignment horizontal="right" indent="1"/>
    </xf>
    <xf numFmtId="167" fontId="3" fillId="0" borderId="0" xfId="0" applyNumberFormat="1" applyFont="1" applyAlignment="1">
      <alignment horizontal="center"/>
    </xf>
    <xf numFmtId="0" fontId="3" fillId="0" borderId="0" xfId="0" applyFont="1" applyAlignment="1">
      <alignment horizontal="center" vertical="center"/>
    </xf>
    <xf numFmtId="170" fontId="3" fillId="0" borderId="0" xfId="0" applyNumberFormat="1" applyFont="1" applyAlignment="1">
      <alignment horizontal="center"/>
    </xf>
    <xf numFmtId="164" fontId="3" fillId="3" borderId="0" xfId="0" applyNumberFormat="1" applyFont="1" applyFill="1" applyAlignment="1">
      <alignment horizontal="center"/>
    </xf>
    <xf numFmtId="0" fontId="0" fillId="0" borderId="0" xfId="0" applyAlignment="1">
      <alignment vertical="center"/>
    </xf>
    <xf numFmtId="174" fontId="0" fillId="0" borderId="0" xfId="0" applyNumberFormat="1" applyAlignment="1">
      <alignment horizontal="center" vertical="center"/>
    </xf>
    <xf numFmtId="171" fontId="0" fillId="0" borderId="9" xfId="0" applyNumberFormat="1" applyBorder="1" applyAlignment="1">
      <alignment horizontal="center" vertical="center"/>
    </xf>
    <xf numFmtId="0" fontId="0" fillId="0" borderId="0" xfId="0" applyAlignment="1">
      <alignment horizontal="right" vertical="center"/>
    </xf>
    <xf numFmtId="174" fontId="0" fillId="0" borderId="10" xfId="0" applyNumberFormat="1" applyBorder="1" applyAlignment="1">
      <alignment horizontal="center" vertical="center"/>
    </xf>
    <xf numFmtId="171" fontId="0" fillId="0" borderId="0" xfId="0" applyNumberFormat="1"/>
    <xf numFmtId="171" fontId="0" fillId="0" borderId="0" xfId="0" applyNumberFormat="1" applyAlignment="1">
      <alignment horizontal="center" vertical="center"/>
    </xf>
    <xf numFmtId="171" fontId="0" fillId="0" borderId="11" xfId="0" applyNumberFormat="1" applyBorder="1" applyAlignment="1">
      <alignment horizontal="center" vertical="center"/>
    </xf>
    <xf numFmtId="171" fontId="0" fillId="0" borderId="4" xfId="0" applyNumberFormat="1" applyBorder="1" applyAlignment="1">
      <alignment horizontal="center" vertical="center"/>
    </xf>
    <xf numFmtId="174" fontId="0" fillId="0" borderId="9" xfId="0" applyNumberFormat="1" applyBorder="1" applyAlignment="1">
      <alignment horizontal="center" vertical="center"/>
    </xf>
    <xf numFmtId="0" fontId="0" fillId="0" borderId="5" xfId="0" applyBorder="1" applyAlignment="1">
      <alignment horizontal="right" vertical="center"/>
    </xf>
    <xf numFmtId="0" fontId="0" fillId="0" borderId="4" xfId="0" applyBorder="1"/>
    <xf numFmtId="171" fontId="0" fillId="0" borderId="1" xfId="0" applyNumberFormat="1" applyBorder="1" applyAlignment="1">
      <alignment horizontal="center" vertical="center"/>
    </xf>
    <xf numFmtId="0" fontId="0" fillId="0" borderId="3" xfId="0" applyBorder="1" applyAlignment="1">
      <alignment horizontal="right" vertical="center"/>
    </xf>
    <xf numFmtId="174" fontId="0" fillId="0" borderId="12" xfId="0" applyNumberFormat="1" applyBorder="1" applyAlignment="1">
      <alignment horizontal="center" vertical="center"/>
    </xf>
    <xf numFmtId="174" fontId="0" fillId="0" borderId="4" xfId="0" applyNumberFormat="1" applyBorder="1" applyAlignment="1">
      <alignment horizontal="center" vertical="center"/>
    </xf>
    <xf numFmtId="0" fontId="0" fillId="4" borderId="9" xfId="0" applyFill="1" applyBorder="1" applyAlignment="1">
      <alignment horizontal="center" vertical="center"/>
    </xf>
    <xf numFmtId="174" fontId="0" fillId="2" borderId="13" xfId="0" applyNumberFormat="1" applyFill="1" applyBorder="1" applyAlignment="1">
      <alignment horizontal="center" vertical="center"/>
    </xf>
    <xf numFmtId="174" fontId="0" fillId="2" borderId="0" xfId="0" applyNumberFormat="1" applyFill="1" applyAlignment="1">
      <alignment horizontal="center" vertical="center"/>
    </xf>
    <xf numFmtId="174" fontId="0" fillId="2" borderId="10" xfId="0" applyNumberFormat="1" applyFill="1" applyBorder="1" applyAlignment="1">
      <alignment horizontal="center" vertical="center"/>
    </xf>
    <xf numFmtId="0" fontId="0" fillId="4" borderId="10" xfId="0" applyFill="1" applyBorder="1" applyAlignment="1">
      <alignment horizontal="center" vertical="center"/>
    </xf>
    <xf numFmtId="174" fontId="0" fillId="0" borderId="13" xfId="0" applyNumberFormat="1" applyBorder="1" applyAlignment="1">
      <alignment horizontal="center" vertical="center"/>
    </xf>
    <xf numFmtId="174" fontId="0" fillId="2" borderId="14" xfId="0" applyNumberFormat="1" applyFill="1" applyBorder="1" applyAlignment="1">
      <alignment horizontal="center" vertical="center"/>
    </xf>
    <xf numFmtId="174" fontId="0" fillId="2" borderId="15" xfId="0" applyNumberFormat="1" applyFill="1" applyBorder="1" applyAlignment="1">
      <alignment horizontal="center" vertical="center"/>
    </xf>
    <xf numFmtId="0" fontId="0" fillId="4" borderId="16" xfId="0" applyFill="1" applyBorder="1" applyAlignment="1">
      <alignment horizontal="center" vertical="center"/>
    </xf>
    <xf numFmtId="0" fontId="0" fillId="4" borderId="14" xfId="0" applyFill="1" applyBorder="1" applyAlignment="1">
      <alignment horizontal="center" vertical="center"/>
    </xf>
    <xf numFmtId="0" fontId="0" fillId="4" borderId="15" xfId="0" applyFill="1" applyBorder="1" applyAlignment="1">
      <alignment horizontal="center" vertical="center"/>
    </xf>
    <xf numFmtId="0" fontId="0" fillId="0" borderId="16" xfId="0" applyBorder="1" applyAlignment="1">
      <alignment horizontal="center" vertical="center"/>
    </xf>
    <xf numFmtId="0" fontId="2" fillId="0" borderId="0" xfId="0" applyFont="1"/>
    <xf numFmtId="164" fontId="3" fillId="3" borderId="4" xfId="0" applyNumberFormat="1" applyFont="1" applyFill="1" applyBorder="1" applyAlignment="1">
      <alignment horizontal="center"/>
    </xf>
    <xf numFmtId="165" fontId="3" fillId="0" borderId="0" xfId="0" applyNumberFormat="1" applyFont="1" applyAlignment="1">
      <alignment horizontal="center" vertical="center"/>
    </xf>
    <xf numFmtId="3" fontId="3" fillId="0" borderId="0" xfId="0" applyNumberFormat="1" applyFont="1" applyAlignment="1">
      <alignment horizontal="center" wrapText="1"/>
    </xf>
    <xf numFmtId="164" fontId="3" fillId="0" borderId="6" xfId="0" applyNumberFormat="1" applyFont="1" applyBorder="1" applyAlignment="1">
      <alignment horizontal="center"/>
    </xf>
    <xf numFmtId="164" fontId="3" fillId="2" borderId="0" xfId="0" applyNumberFormat="1" applyFont="1" applyFill="1" applyAlignment="1">
      <alignment horizontal="center"/>
    </xf>
    <xf numFmtId="164" fontId="3" fillId="2" borderId="4" xfId="0" applyNumberFormat="1" applyFont="1" applyFill="1" applyBorder="1" applyAlignment="1">
      <alignment horizontal="center"/>
    </xf>
    <xf numFmtId="164" fontId="3" fillId="0" borderId="0" xfId="0" applyNumberFormat="1" applyFont="1" applyAlignment="1">
      <alignment horizontal="left" vertical="center"/>
    </xf>
    <xf numFmtId="167" fontId="3" fillId="0" borderId="6" xfId="0" applyNumberFormat="1" applyFont="1" applyBorder="1" applyAlignment="1">
      <alignment horizontal="center"/>
    </xf>
    <xf numFmtId="167" fontId="3" fillId="2" borderId="0" xfId="0" applyNumberFormat="1" applyFont="1" applyFill="1" applyAlignment="1">
      <alignment horizontal="center"/>
    </xf>
    <xf numFmtId="167" fontId="3" fillId="2" borderId="4" xfId="0" applyNumberFormat="1" applyFont="1" applyFill="1" applyBorder="1" applyAlignment="1">
      <alignment horizontal="center"/>
    </xf>
    <xf numFmtId="0" fontId="3" fillId="0" borderId="0" xfId="0" applyFont="1"/>
    <xf numFmtId="165" fontId="3" fillId="0" borderId="0" xfId="0" applyNumberFormat="1" applyFont="1" applyAlignment="1">
      <alignment horizontal="center" wrapText="1"/>
    </xf>
    <xf numFmtId="0" fontId="3" fillId="0" borderId="0" xfId="0" applyFont="1" applyAlignment="1">
      <alignment horizontal="center" wrapText="1"/>
    </xf>
    <xf numFmtId="164" fontId="3" fillId="0" borderId="0" xfId="0" applyNumberFormat="1" applyFont="1" applyAlignment="1">
      <alignment horizontal="center" wrapText="1"/>
    </xf>
    <xf numFmtId="0" fontId="3" fillId="0" borderId="6" xfId="0" applyFont="1" applyBorder="1" applyAlignment="1">
      <alignment horizontal="center" vertical="center"/>
    </xf>
    <xf numFmtId="171" fontId="3" fillId="0" borderId="6" xfId="0" applyNumberFormat="1" applyFont="1" applyBorder="1" applyAlignment="1">
      <alignment horizontal="right" indent="1"/>
    </xf>
    <xf numFmtId="164" fontId="3" fillId="3" borderId="6" xfId="0" applyNumberFormat="1" applyFont="1" applyFill="1" applyBorder="1" applyAlignment="1">
      <alignment horizontal="center"/>
    </xf>
    <xf numFmtId="170" fontId="3" fillId="0" borderId="6" xfId="0" applyNumberFormat="1" applyFont="1" applyBorder="1" applyAlignment="1">
      <alignment horizontal="center"/>
    </xf>
    <xf numFmtId="169" fontId="3" fillId="3" borderId="6" xfId="0" applyNumberFormat="1" applyFont="1" applyFill="1" applyBorder="1" applyAlignment="1">
      <alignment horizontal="center"/>
    </xf>
    <xf numFmtId="0" fontId="3" fillId="2" borderId="0" xfId="0" applyFont="1" applyFill="1" applyAlignment="1">
      <alignment horizontal="center" vertical="center"/>
    </xf>
    <xf numFmtId="171" fontId="3" fillId="2" borderId="0" xfId="0" applyNumberFormat="1" applyFont="1" applyFill="1" applyAlignment="1">
      <alignment horizontal="right" indent="1"/>
    </xf>
    <xf numFmtId="170" fontId="3" fillId="2" borderId="0" xfId="0" applyNumberFormat="1" applyFont="1" applyFill="1" applyAlignment="1">
      <alignment horizontal="center"/>
    </xf>
    <xf numFmtId="169" fontId="3" fillId="3" borderId="0" xfId="0" applyNumberFormat="1" applyFont="1" applyFill="1" applyAlignment="1">
      <alignment horizontal="center"/>
    </xf>
    <xf numFmtId="0" fontId="3" fillId="2" borderId="4" xfId="0" applyFont="1" applyFill="1" applyBorder="1" applyAlignment="1">
      <alignment horizontal="center" vertical="center"/>
    </xf>
    <xf numFmtId="171" fontId="3" fillId="2" borderId="4" xfId="0" applyNumberFormat="1" applyFont="1" applyFill="1" applyBorder="1" applyAlignment="1">
      <alignment horizontal="right" indent="1"/>
    </xf>
    <xf numFmtId="170" fontId="3" fillId="2" borderId="4" xfId="0" applyNumberFormat="1" applyFont="1" applyFill="1" applyBorder="1" applyAlignment="1">
      <alignment horizontal="center"/>
    </xf>
    <xf numFmtId="169" fontId="3" fillId="3" borderId="4" xfId="0" applyNumberFormat="1" applyFont="1" applyFill="1" applyBorder="1" applyAlignment="1">
      <alignment horizontal="center"/>
    </xf>
    <xf numFmtId="166" fontId="3" fillId="0" borderId="17" xfId="3" applyNumberFormat="1" applyFont="1" applyBorder="1" applyAlignment="1">
      <alignment horizontal="center"/>
    </xf>
    <xf numFmtId="166" fontId="3" fillId="2" borderId="18" xfId="3" applyNumberFormat="1" applyFont="1" applyFill="1" applyBorder="1" applyAlignment="1">
      <alignment horizontal="center"/>
    </xf>
    <xf numFmtId="166" fontId="3" fillId="0" borderId="18" xfId="3" applyNumberFormat="1" applyFont="1" applyBorder="1" applyAlignment="1">
      <alignment horizontal="center"/>
    </xf>
    <xf numFmtId="166" fontId="3" fillId="2" borderId="19" xfId="3" applyNumberFormat="1" applyFont="1" applyFill="1" applyBorder="1" applyAlignment="1">
      <alignment horizontal="center"/>
    </xf>
    <xf numFmtId="3" fontId="3" fillId="0" borderId="0" xfId="0" applyNumberFormat="1" applyFont="1"/>
    <xf numFmtId="164" fontId="3" fillId="0" borderId="0" xfId="0" applyNumberFormat="1" applyFont="1" applyAlignment="1">
      <alignment horizontal="left"/>
    </xf>
    <xf numFmtId="166" fontId="3" fillId="0" borderId="0" xfId="1" applyNumberFormat="1" applyFont="1" applyAlignment="1">
      <alignment horizontal="center"/>
    </xf>
    <xf numFmtId="0" fontId="1" fillId="0" borderId="0" xfId="4" applyFont="1"/>
    <xf numFmtId="10" fontId="3" fillId="0" borderId="0" xfId="3" applyNumberFormat="1" applyFont="1" applyAlignment="1">
      <alignment horizontal="center"/>
    </xf>
    <xf numFmtId="3" fontId="3" fillId="0" borderId="0" xfId="0" applyNumberFormat="1" applyFont="1" applyAlignment="1">
      <alignment horizontal="left"/>
    </xf>
    <xf numFmtId="168" fontId="3" fillId="0" borderId="0" xfId="0" applyNumberFormat="1" applyFont="1" applyAlignment="1">
      <alignment horizontal="left" vertical="center"/>
    </xf>
    <xf numFmtId="3" fontId="3" fillId="0" borderId="0" xfId="0" applyNumberFormat="1" applyFont="1" applyAlignment="1">
      <alignment horizontal="left" vertical="top"/>
    </xf>
    <xf numFmtId="0" fontId="4" fillId="0" borderId="0" xfId="0" applyFont="1"/>
    <xf numFmtId="0" fontId="2" fillId="5" borderId="8" xfId="0" applyFont="1" applyFill="1" applyBorder="1" applyAlignment="1">
      <alignment horizontal="center" vertical="center" wrapText="1"/>
    </xf>
    <xf numFmtId="175" fontId="0" fillId="0" borderId="20" xfId="0" applyNumberFormat="1" applyBorder="1" applyAlignment="1">
      <alignment horizontal="right" vertical="center"/>
    </xf>
    <xf numFmtId="174" fontId="0" fillId="0" borderId="0" xfId="0" applyNumberFormat="1"/>
    <xf numFmtId="164" fontId="0" fillId="0" borderId="0" xfId="0" applyNumberFormat="1" applyAlignment="1">
      <alignment vertical="top" wrapText="1"/>
    </xf>
    <xf numFmtId="164" fontId="0" fillId="0" borderId="0" xfId="0" applyNumberFormat="1" applyAlignment="1">
      <alignment vertical="center" wrapText="1"/>
    </xf>
    <xf numFmtId="174" fontId="0" fillId="0" borderId="5" xfId="0" applyNumberFormat="1" applyBorder="1" applyAlignment="1">
      <alignment horizontal="center" vertical="center"/>
    </xf>
    <xf numFmtId="0" fontId="7" fillId="0" borderId="0" xfId="0" applyFont="1" applyAlignment="1">
      <alignment horizontal="right"/>
    </xf>
    <xf numFmtId="175" fontId="0" fillId="0" borderId="23" xfId="0" applyNumberFormat="1" applyBorder="1" applyAlignment="1">
      <alignment horizontal="right" vertical="center"/>
    </xf>
    <xf numFmtId="3" fontId="0" fillId="0" borderId="0" xfId="0" applyNumberFormat="1"/>
    <xf numFmtId="1" fontId="3" fillId="0" borderId="7" xfId="0" applyNumberFormat="1" applyFont="1" applyBorder="1" applyAlignment="1">
      <alignment horizontal="center" vertical="center"/>
    </xf>
    <xf numFmtId="1" fontId="3" fillId="2" borderId="2" xfId="0" applyNumberFormat="1" applyFont="1" applyFill="1" applyBorder="1" applyAlignment="1">
      <alignment horizontal="center" vertical="center"/>
    </xf>
    <xf numFmtId="1" fontId="3" fillId="0" borderId="2" xfId="0" applyNumberFormat="1" applyFont="1" applyBorder="1" applyAlignment="1">
      <alignment horizontal="center" vertical="center"/>
    </xf>
    <xf numFmtId="1" fontId="3" fillId="2" borderId="5" xfId="0" applyNumberFormat="1" applyFont="1" applyFill="1" applyBorder="1" applyAlignment="1">
      <alignment horizontal="center" vertical="center"/>
    </xf>
    <xf numFmtId="164" fontId="3" fillId="0" borderId="0" xfId="0" applyNumberFormat="1" applyFont="1"/>
    <xf numFmtId="0" fontId="1" fillId="0" borderId="0" xfId="6" applyFont="1"/>
    <xf numFmtId="175" fontId="0" fillId="0" borderId="22" xfId="0" applyNumberFormat="1" applyBorder="1" applyAlignment="1">
      <alignment horizontal="right" vertical="center"/>
    </xf>
    <xf numFmtId="175" fontId="0" fillId="6" borderId="20" xfId="0" applyNumberFormat="1" applyFill="1" applyBorder="1" applyAlignment="1">
      <alignment horizontal="right" vertical="center"/>
    </xf>
    <xf numFmtId="175" fontId="0" fillId="6" borderId="21" xfId="0" applyNumberFormat="1" applyFill="1" applyBorder="1" applyAlignment="1">
      <alignment horizontal="right" vertical="center"/>
    </xf>
    <xf numFmtId="3" fontId="1" fillId="0" borderId="0" xfId="8" applyNumberFormat="1"/>
    <xf numFmtId="3" fontId="1" fillId="6" borderId="0" xfId="9" applyNumberFormat="1" applyFill="1" applyAlignment="1">
      <alignment horizontal="center"/>
    </xf>
    <xf numFmtId="3" fontId="1" fillId="0" borderId="0" xfId="9" applyNumberFormat="1" applyAlignment="1">
      <alignment horizontal="center"/>
    </xf>
    <xf numFmtId="175" fontId="0" fillId="6" borderId="22" xfId="0" applyNumberFormat="1" applyFill="1" applyBorder="1" applyAlignment="1">
      <alignment horizontal="right" vertical="center"/>
    </xf>
    <xf numFmtId="3" fontId="1" fillId="6" borderId="0" xfId="8" applyNumberFormat="1" applyFill="1" applyAlignment="1">
      <alignment horizontal="center"/>
    </xf>
    <xf numFmtId="175" fontId="0" fillId="0" borderId="0" xfId="0" applyNumberFormat="1" applyAlignment="1">
      <alignment horizontal="right" vertical="center"/>
    </xf>
    <xf numFmtId="3" fontId="1" fillId="0" borderId="0" xfId="8" applyNumberFormat="1" applyAlignment="1">
      <alignment horizontal="center"/>
    </xf>
    <xf numFmtId="171" fontId="0" fillId="0" borderId="10" xfId="0" applyNumberFormat="1" applyBorder="1" applyAlignment="1">
      <alignment horizontal="center" vertical="center"/>
    </xf>
    <xf numFmtId="171" fontId="3" fillId="2" borderId="0" xfId="0" applyNumberFormat="1" applyFont="1" applyFill="1" applyAlignment="1">
      <alignment horizontal="center"/>
    </xf>
    <xf numFmtId="171" fontId="3" fillId="0" borderId="0" xfId="0" applyNumberFormat="1" applyFont="1" applyAlignment="1">
      <alignment horizontal="center"/>
    </xf>
    <xf numFmtId="176" fontId="3" fillId="0" borderId="18" xfId="3" applyNumberFormat="1" applyFont="1" applyBorder="1" applyAlignment="1">
      <alignment horizontal="center"/>
    </xf>
    <xf numFmtId="176" fontId="3" fillId="2" borderId="18" xfId="3" applyNumberFormat="1" applyFont="1" applyFill="1" applyBorder="1" applyAlignment="1">
      <alignment horizontal="center"/>
    </xf>
    <xf numFmtId="3" fontId="1" fillId="0" borderId="8" xfId="8" applyNumberFormat="1" applyBorder="1" applyAlignment="1">
      <alignment horizontal="center"/>
    </xf>
    <xf numFmtId="0" fontId="4"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center" vertical="center" textRotation="90"/>
    </xf>
    <xf numFmtId="168" fontId="0" fillId="0" borderId="0" xfId="0" applyNumberFormat="1" applyAlignment="1">
      <alignment horizontal="left" vertical="center"/>
    </xf>
    <xf numFmtId="3" fontId="3" fillId="0" borderId="0" xfId="0" applyNumberFormat="1" applyFont="1" applyAlignment="1">
      <alignment horizontal="left" vertical="top" wrapText="1"/>
    </xf>
    <xf numFmtId="168" fontId="3" fillId="0" borderId="0" xfId="0" applyNumberFormat="1" applyFont="1" applyAlignment="1">
      <alignment horizontal="left" vertical="center"/>
    </xf>
    <xf numFmtId="164" fontId="0" fillId="0" borderId="0" xfId="0" applyNumberFormat="1" applyAlignment="1">
      <alignment horizontal="left" vertical="center" wrapText="1"/>
    </xf>
    <xf numFmtId="164" fontId="0" fillId="0" borderId="0" xfId="0" applyNumberFormat="1" applyAlignment="1">
      <alignment horizontal="left" vertical="top" wrapText="1"/>
    </xf>
    <xf numFmtId="3" fontId="3" fillId="0" borderId="0" xfId="0" applyNumberFormat="1" applyFont="1" applyAlignment="1">
      <alignment horizontal="right" wrapText="1"/>
    </xf>
  </cellXfs>
  <cellStyles count="10">
    <cellStyle name="Comma 2" xfId="2" xr:uid="{52212CCD-A2FC-443B-9342-07C8F38A8AAE}"/>
    <cellStyle name="Normal" xfId="0" builtinId="0"/>
    <cellStyle name="Normal 2" xfId="4" xr:uid="{67E1ECE4-C069-4F03-BB9B-192D9EF18F63}"/>
    <cellStyle name="Normal 2 2" xfId="7" xr:uid="{5DD4775D-64BF-4AC1-8793-11C71565DAF0}"/>
    <cellStyle name="Normal 3" xfId="5" xr:uid="{E4F6BAB4-8966-49C3-991A-C3370EB40DEB}"/>
    <cellStyle name="Normal 4" xfId="8" xr:uid="{5A239DE2-4087-4F48-AB0E-738A24C64989}"/>
    <cellStyle name="Normal 4 2" xfId="9" xr:uid="{2E941900-D06A-4EDE-B5E7-DC0DCE4656B6}"/>
    <cellStyle name="Normal 5" xfId="6" xr:uid="{A59F2BC4-3FF8-4CE2-8869-153EB3DCAE22}"/>
    <cellStyle name="Percent" xfId="3" builtinId="5"/>
    <cellStyle name="Percent 2" xfId="1" xr:uid="{08B616E9-4707-442D-89CC-F6769DF4E4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xdr:colOff>
      <xdr:row>0</xdr:row>
      <xdr:rowOff>0</xdr:rowOff>
    </xdr:from>
    <xdr:ext cx="2702032" cy="920750"/>
    <xdr:pic>
      <xdr:nvPicPr>
        <xdr:cNvPr id="2" name="Picture 1" descr="https://share-bcstats.gov.bc.ca/Site%20Assets/SitePages/Logos/BCID_BCStats_CMYK_sanBPOE_pos.jpg">
          <a:extLst>
            <a:ext uri="{FF2B5EF4-FFF2-40B4-BE49-F238E27FC236}">
              <a16:creationId xmlns:a16="http://schemas.microsoft.com/office/drawing/2014/main" id="{B8D13962-AF33-4125-AF5E-471909FE543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871" t="17824" r="7721" b="16079"/>
        <a:stretch/>
      </xdr:blipFill>
      <xdr:spPr bwMode="auto">
        <a:xfrm>
          <a:off x="1" y="0"/>
          <a:ext cx="2702032" cy="920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2A8B1-1A7E-4896-BFA2-861D6087F6A2}">
  <sheetPr>
    <tabColor theme="4"/>
  </sheetPr>
  <dimension ref="A1:S41"/>
  <sheetViews>
    <sheetView showGridLines="0" zoomScaleNormal="100" zoomScaleSheetLayoutView="100" workbookViewId="0">
      <pane ySplit="1" topLeftCell="A13" activePane="bottomLeft" state="frozen"/>
      <selection activeCell="B3" sqref="B3"/>
      <selection pane="bottomLeft" activeCell="C12" sqref="C12"/>
    </sheetView>
  </sheetViews>
  <sheetFormatPr defaultColWidth="8.81640625" defaultRowHeight="14.5" x14ac:dyDescent="0.35"/>
  <cols>
    <col min="1" max="1" width="5.54296875" style="42" bestFit="1" customWidth="1"/>
    <col min="2" max="2" width="7.54296875" style="9" customWidth="1"/>
    <col min="3" max="3" width="16.1796875" style="6" bestFit="1" customWidth="1"/>
    <col min="4" max="5" width="18.26953125" style="5" bestFit="1" customWidth="1"/>
    <col min="6" max="6" width="27.6328125" style="5" bestFit="1" customWidth="1"/>
    <col min="7" max="7" width="21" style="5" bestFit="1" customWidth="1"/>
    <col min="8" max="8" width="25.90625" style="5" bestFit="1" customWidth="1"/>
    <col min="9" max="9" width="19.1796875" style="5" customWidth="1"/>
    <col min="10" max="10" width="21.54296875" style="5" customWidth="1"/>
    <col min="11" max="12" width="10.81640625" style="5" customWidth="1"/>
    <col min="13" max="13" width="14.54296875" style="5" customWidth="1"/>
    <col min="14" max="14" width="14.453125" style="5" customWidth="1"/>
    <col min="15" max="15" width="27" style="5" customWidth="1"/>
    <col min="16" max="16" width="21.453125" style="51" customWidth="1"/>
    <col min="17" max="17" width="16.1796875" style="51" bestFit="1" customWidth="1"/>
    <col min="18" max="16384" width="8.81640625" style="51"/>
  </cols>
  <sheetData>
    <row r="1" spans="1:16" s="53" customFormat="1" ht="29" x14ac:dyDescent="0.35">
      <c r="A1" s="52" t="s">
        <v>0</v>
      </c>
      <c r="B1" s="53" t="s">
        <v>24</v>
      </c>
      <c r="C1" s="54" t="s">
        <v>55</v>
      </c>
      <c r="D1" s="43" t="s">
        <v>56</v>
      </c>
      <c r="E1" s="43" t="s">
        <v>57</v>
      </c>
      <c r="F1" s="43" t="s">
        <v>58</v>
      </c>
      <c r="G1" s="43" t="s">
        <v>59</v>
      </c>
      <c r="H1" s="43" t="s">
        <v>60</v>
      </c>
      <c r="I1" s="43" t="s">
        <v>61</v>
      </c>
      <c r="J1" s="43" t="s">
        <v>23</v>
      </c>
      <c r="K1" s="43" t="s">
        <v>22</v>
      </c>
      <c r="L1" s="43" t="s">
        <v>21</v>
      </c>
      <c r="M1" s="43" t="s">
        <v>20</v>
      </c>
      <c r="N1" s="43" t="s">
        <v>19</v>
      </c>
      <c r="O1" s="43"/>
      <c r="P1" s="120"/>
    </row>
    <row r="2" spans="1:16" x14ac:dyDescent="0.35">
      <c r="A2" s="90">
        <v>2018</v>
      </c>
      <c r="B2" s="55">
        <v>1</v>
      </c>
      <c r="C2" s="44">
        <v>13316</v>
      </c>
      <c r="D2" s="44">
        <v>10579</v>
      </c>
      <c r="E2" s="56">
        <v>2737</v>
      </c>
      <c r="F2" s="44">
        <v>12187</v>
      </c>
      <c r="G2" s="56">
        <v>3752</v>
      </c>
      <c r="H2" s="48">
        <v>3324</v>
      </c>
      <c r="I2" s="48">
        <f>F2+G2-H2</f>
        <v>12615</v>
      </c>
      <c r="J2" s="48">
        <f>I2+E2</f>
        <v>15352</v>
      </c>
      <c r="K2" s="57">
        <v>10542</v>
      </c>
      <c r="L2" s="57">
        <v>10337</v>
      </c>
      <c r="M2" s="58">
        <f>K2-L2</f>
        <v>205</v>
      </c>
      <c r="N2" s="58">
        <f>J2+M2</f>
        <v>15557</v>
      </c>
      <c r="O2" s="59">
        <v>4991716</v>
      </c>
      <c r="P2" s="68" t="e">
        <f>(O2-#REF!)/#REF!</f>
        <v>#REF!</v>
      </c>
    </row>
    <row r="3" spans="1:16" x14ac:dyDescent="0.35">
      <c r="A3" s="91">
        <v>2018</v>
      </c>
      <c r="B3" s="60">
        <v>2</v>
      </c>
      <c r="C3" s="45">
        <v>22343</v>
      </c>
      <c r="D3" s="45">
        <v>16030</v>
      </c>
      <c r="E3" s="61">
        <v>6313</v>
      </c>
      <c r="F3" s="45">
        <v>12066</v>
      </c>
      <c r="G3" s="61">
        <v>9441</v>
      </c>
      <c r="H3" s="49">
        <v>1956</v>
      </c>
      <c r="I3" s="49">
        <f>F3+G3-H3</f>
        <v>19551</v>
      </c>
      <c r="J3" s="49">
        <f>I3+E3</f>
        <v>25864</v>
      </c>
      <c r="K3" s="11">
        <v>11101</v>
      </c>
      <c r="L3" s="11">
        <v>9165</v>
      </c>
      <c r="M3" s="62">
        <f>K3-L3</f>
        <v>1936</v>
      </c>
      <c r="N3" s="62">
        <f>J3+M3</f>
        <v>27800</v>
      </c>
      <c r="O3" s="63">
        <v>5020979</v>
      </c>
      <c r="P3" s="69" t="e">
        <f>(O3-#REF!)/#REF!</f>
        <v>#REF!</v>
      </c>
    </row>
    <row r="4" spans="1:16" x14ac:dyDescent="0.35">
      <c r="A4" s="92">
        <v>2018</v>
      </c>
      <c r="B4" s="9">
        <v>3</v>
      </c>
      <c r="C4" s="6">
        <v>13502</v>
      </c>
      <c r="D4" s="6">
        <v>11630</v>
      </c>
      <c r="E4" s="7">
        <v>1872</v>
      </c>
      <c r="F4" s="6">
        <v>10859</v>
      </c>
      <c r="G4" s="7">
        <v>16608</v>
      </c>
      <c r="H4" s="8">
        <v>1993</v>
      </c>
      <c r="I4" s="8">
        <f>F4+G4-H4</f>
        <v>25474</v>
      </c>
      <c r="J4" s="8">
        <f>I4+E4</f>
        <v>27346</v>
      </c>
      <c r="K4" s="11">
        <v>11439</v>
      </c>
      <c r="L4" s="11">
        <v>9112</v>
      </c>
      <c r="M4" s="10">
        <f>K4-L4</f>
        <v>2327</v>
      </c>
      <c r="N4" s="10">
        <f>J4+M4</f>
        <v>29673</v>
      </c>
      <c r="O4" s="63">
        <v>5052131</v>
      </c>
      <c r="P4" s="70" t="e">
        <f>(O4-#REF!)/#REF!</f>
        <v>#REF!</v>
      </c>
    </row>
    <row r="5" spans="1:16" ht="15" thickBot="1" x14ac:dyDescent="0.4">
      <c r="A5" s="93">
        <v>2018</v>
      </c>
      <c r="B5" s="64">
        <v>4</v>
      </c>
      <c r="C5" s="46">
        <v>10068</v>
      </c>
      <c r="D5" s="46">
        <v>8274</v>
      </c>
      <c r="E5" s="65">
        <v>1794</v>
      </c>
      <c r="F5" s="46">
        <v>9742</v>
      </c>
      <c r="G5" s="65">
        <v>-1774</v>
      </c>
      <c r="H5" s="50">
        <v>2893</v>
      </c>
      <c r="I5" s="50">
        <f>F5+G5-H5</f>
        <v>5075</v>
      </c>
      <c r="J5" s="50">
        <f>I5+E5</f>
        <v>6869</v>
      </c>
      <c r="K5" s="41">
        <v>10512</v>
      </c>
      <c r="L5" s="41">
        <v>9859</v>
      </c>
      <c r="M5" s="66">
        <f>K5-L5</f>
        <v>653</v>
      </c>
      <c r="N5" s="66">
        <f>J5+M5</f>
        <v>7522</v>
      </c>
      <c r="O5" s="67">
        <v>5061132</v>
      </c>
      <c r="P5" s="71" t="e">
        <f>(O5-#REF!)/#REF!</f>
        <v>#REF!</v>
      </c>
    </row>
    <row r="6" spans="1:16" x14ac:dyDescent="0.35">
      <c r="A6" s="90">
        <v>2019</v>
      </c>
      <c r="B6" s="55">
        <v>1</v>
      </c>
      <c r="C6" s="44">
        <v>12867</v>
      </c>
      <c r="D6" s="44">
        <v>9339</v>
      </c>
      <c r="E6" s="56">
        <v>3528</v>
      </c>
      <c r="F6" s="44">
        <v>8846</v>
      </c>
      <c r="G6" s="56">
        <v>8072</v>
      </c>
      <c r="H6" s="48">
        <v>2758</v>
      </c>
      <c r="I6" s="48">
        <f>F6+G6-H6</f>
        <v>14160</v>
      </c>
      <c r="J6" s="48">
        <f>I6+E6</f>
        <v>17688</v>
      </c>
      <c r="K6" s="57">
        <v>10409</v>
      </c>
      <c r="L6" s="57">
        <v>10161</v>
      </c>
      <c r="M6" s="58">
        <f>K6-L6</f>
        <v>248</v>
      </c>
      <c r="N6" s="58">
        <f>J6+M6</f>
        <v>17936</v>
      </c>
      <c r="O6" s="59">
        <v>5080515</v>
      </c>
      <c r="P6" s="68">
        <f>(O6-O2)/O2</f>
        <v>1.778927326795034E-2</v>
      </c>
    </row>
    <row r="7" spans="1:16" x14ac:dyDescent="0.35">
      <c r="A7" s="91">
        <v>2019</v>
      </c>
      <c r="B7" s="60">
        <v>2</v>
      </c>
      <c r="C7" s="45">
        <v>21251</v>
      </c>
      <c r="D7" s="45">
        <v>15120</v>
      </c>
      <c r="E7" s="61">
        <v>6131</v>
      </c>
      <c r="F7" s="45">
        <v>13686</v>
      </c>
      <c r="G7" s="61">
        <v>8986</v>
      </c>
      <c r="H7" s="49">
        <v>1406</v>
      </c>
      <c r="I7" s="49">
        <f>F7+G7-H7</f>
        <v>21266</v>
      </c>
      <c r="J7" s="49">
        <f>I7+E7</f>
        <v>27397</v>
      </c>
      <c r="K7" s="11">
        <v>11076</v>
      </c>
      <c r="L7" s="11">
        <v>9429</v>
      </c>
      <c r="M7" s="62">
        <f>K7-L7</f>
        <v>1647</v>
      </c>
      <c r="N7" s="62">
        <f>J7+M7</f>
        <v>29044</v>
      </c>
      <c r="O7" s="63">
        <v>5111022</v>
      </c>
      <c r="P7" s="69">
        <f>(O7-O3)/O3</f>
        <v>1.7933355228133795E-2</v>
      </c>
    </row>
    <row r="8" spans="1:16" x14ac:dyDescent="0.35">
      <c r="A8" s="92">
        <v>2019</v>
      </c>
      <c r="B8" s="9">
        <v>3</v>
      </c>
      <c r="C8" s="6">
        <v>15678</v>
      </c>
      <c r="D8" s="6">
        <v>13359</v>
      </c>
      <c r="E8" s="7">
        <v>2319</v>
      </c>
      <c r="F8" s="6">
        <v>15899</v>
      </c>
      <c r="G8" s="7">
        <v>16450</v>
      </c>
      <c r="H8" s="8">
        <v>1658</v>
      </c>
      <c r="I8" s="8">
        <f>F8+G8-H8</f>
        <v>30691</v>
      </c>
      <c r="J8" s="8">
        <f>I8+E8</f>
        <v>33010</v>
      </c>
      <c r="K8" s="11">
        <v>11568</v>
      </c>
      <c r="L8" s="11">
        <v>9032</v>
      </c>
      <c r="M8" s="10">
        <f>K8-L8</f>
        <v>2536</v>
      </c>
      <c r="N8" s="10">
        <f>J8+M8</f>
        <v>35546</v>
      </c>
      <c r="O8" s="63">
        <v>5148047</v>
      </c>
      <c r="P8" s="70">
        <f>(O8-O4)/O4</f>
        <v>1.8985255924678122E-2</v>
      </c>
    </row>
    <row r="9" spans="1:16" ht="15" thickBot="1" x14ac:dyDescent="0.4">
      <c r="A9" s="93">
        <f>A5+1</f>
        <v>2019</v>
      </c>
      <c r="B9" s="64">
        <v>4</v>
      </c>
      <c r="C9" s="46">
        <v>10548</v>
      </c>
      <c r="D9" s="46">
        <v>8261</v>
      </c>
      <c r="E9" s="65">
        <v>2287</v>
      </c>
      <c r="F9" s="46">
        <v>11797</v>
      </c>
      <c r="G9" s="65">
        <v>-4528</v>
      </c>
      <c r="H9" s="50">
        <v>2527</v>
      </c>
      <c r="I9" s="50">
        <f>F9+G9-H9</f>
        <v>4742</v>
      </c>
      <c r="J9" s="50">
        <f>I9+E9</f>
        <v>7029</v>
      </c>
      <c r="K9" s="41">
        <v>10437</v>
      </c>
      <c r="L9" s="41">
        <v>9939</v>
      </c>
      <c r="M9" s="66">
        <f>K9-L9</f>
        <v>498</v>
      </c>
      <c r="N9" s="66">
        <f>J9+M9</f>
        <v>7527</v>
      </c>
      <c r="O9" s="67">
        <v>5157053</v>
      </c>
      <c r="P9" s="71">
        <f>(O9-O5)/O5</f>
        <v>1.8952479405793012E-2</v>
      </c>
    </row>
    <row r="10" spans="1:16" x14ac:dyDescent="0.35">
      <c r="A10" s="90">
        <f>A6+1</f>
        <v>2020</v>
      </c>
      <c r="B10" s="55">
        <v>1</v>
      </c>
      <c r="C10" s="44">
        <v>15836</v>
      </c>
      <c r="D10" s="44">
        <v>11961</v>
      </c>
      <c r="E10" s="56">
        <v>3875</v>
      </c>
      <c r="F10" s="44">
        <v>11035</v>
      </c>
      <c r="G10" s="56">
        <v>-1341</v>
      </c>
      <c r="H10" s="48">
        <v>2521</v>
      </c>
      <c r="I10" s="48">
        <f>F10+G10-H10</f>
        <v>7173</v>
      </c>
      <c r="J10" s="48">
        <f>I10+E10</f>
        <v>11048</v>
      </c>
      <c r="K10" s="57">
        <v>10394</v>
      </c>
      <c r="L10" s="57">
        <v>10423</v>
      </c>
      <c r="M10" s="58">
        <f>K10-L10</f>
        <v>-29</v>
      </c>
      <c r="N10" s="58">
        <f>J10+M10</f>
        <v>11019</v>
      </c>
      <c r="O10" s="59">
        <v>5169535</v>
      </c>
      <c r="P10" s="68">
        <f>(O10-O6)/O6</f>
        <v>1.7521845718396659E-2</v>
      </c>
    </row>
    <row r="11" spans="1:16" x14ac:dyDescent="0.35">
      <c r="A11" s="91">
        <f>A7+1</f>
        <v>2020</v>
      </c>
      <c r="B11" s="60">
        <v>2</v>
      </c>
      <c r="C11" s="45">
        <v>22641</v>
      </c>
      <c r="D11" s="45">
        <v>14123</v>
      </c>
      <c r="E11" s="61">
        <v>8518</v>
      </c>
      <c r="F11" s="45">
        <v>6064</v>
      </c>
      <c r="G11" s="61">
        <v>-9978</v>
      </c>
      <c r="H11" s="49">
        <v>435</v>
      </c>
      <c r="I11" s="107">
        <f>F11+G11-H11</f>
        <v>-4349</v>
      </c>
      <c r="J11" s="49">
        <f>I11+E11</f>
        <v>4169</v>
      </c>
      <c r="K11" s="11">
        <v>10704</v>
      </c>
      <c r="L11" s="11">
        <v>9770</v>
      </c>
      <c r="M11" s="62">
        <f>K11-L11</f>
        <v>934</v>
      </c>
      <c r="N11" s="62">
        <f>J11+M11</f>
        <v>5103</v>
      </c>
      <c r="O11" s="63">
        <v>5176101</v>
      </c>
      <c r="P11" s="69">
        <f>(O11-O7)/O7</f>
        <v>1.2733069824391286E-2</v>
      </c>
    </row>
    <row r="12" spans="1:16" x14ac:dyDescent="0.35">
      <c r="A12" s="92">
        <f>A8+1</f>
        <v>2020</v>
      </c>
      <c r="B12" s="9">
        <v>3</v>
      </c>
      <c r="C12" s="6">
        <v>11258</v>
      </c>
      <c r="D12" s="6">
        <v>7992</v>
      </c>
      <c r="E12" s="7">
        <v>3266</v>
      </c>
      <c r="F12" s="6">
        <v>4888</v>
      </c>
      <c r="G12" s="7">
        <v>-12917</v>
      </c>
      <c r="H12" s="8">
        <v>68</v>
      </c>
      <c r="I12" s="108">
        <f>F12+G12-H12</f>
        <v>-8097</v>
      </c>
      <c r="J12" s="108">
        <f>I12+E12</f>
        <v>-4831</v>
      </c>
      <c r="K12" s="11">
        <v>11088</v>
      </c>
      <c r="L12" s="11">
        <v>9941</v>
      </c>
      <c r="M12" s="10">
        <f>K12-L12</f>
        <v>1147</v>
      </c>
      <c r="N12" s="10">
        <f>J12+M12</f>
        <v>-3684</v>
      </c>
      <c r="O12" s="63">
        <v>5173896</v>
      </c>
      <c r="P12" s="70">
        <f>(O12-O8)/O8</f>
        <v>5.0211274294892803E-3</v>
      </c>
    </row>
    <row r="13" spans="1:16" ht="15" thickBot="1" x14ac:dyDescent="0.4">
      <c r="A13" s="93">
        <f>A9+1</f>
        <v>2020</v>
      </c>
      <c r="B13" s="64">
        <v>4</v>
      </c>
      <c r="C13" s="46">
        <v>9229</v>
      </c>
      <c r="D13" s="46">
        <v>5578</v>
      </c>
      <c r="E13" s="65">
        <v>3651</v>
      </c>
      <c r="F13" s="46">
        <v>6495</v>
      </c>
      <c r="G13" s="65">
        <v>-2906</v>
      </c>
      <c r="H13" s="50">
        <v>1471</v>
      </c>
      <c r="I13" s="50">
        <f>F13+G13-H13</f>
        <v>2118</v>
      </c>
      <c r="J13" s="50">
        <f>I13+E13</f>
        <v>5769</v>
      </c>
      <c r="K13" s="41">
        <v>10069</v>
      </c>
      <c r="L13" s="41">
        <v>11198</v>
      </c>
      <c r="M13" s="66">
        <f>K13-L13</f>
        <v>-1129</v>
      </c>
      <c r="N13" s="66">
        <f>J13+M13</f>
        <v>4640</v>
      </c>
      <c r="O13" s="67">
        <v>5180015</v>
      </c>
      <c r="P13" s="71">
        <f>(O13-O9)/O9</f>
        <v>4.4525429542802836E-3</v>
      </c>
    </row>
    <row r="14" spans="1:16" x14ac:dyDescent="0.35">
      <c r="A14" s="90">
        <f>A10+1</f>
        <v>2021</v>
      </c>
      <c r="B14" s="55">
        <v>1</v>
      </c>
      <c r="C14" s="44">
        <v>16186</v>
      </c>
      <c r="D14" s="44">
        <v>9194</v>
      </c>
      <c r="E14" s="56">
        <v>6992</v>
      </c>
      <c r="F14" s="44">
        <v>10278</v>
      </c>
      <c r="G14" s="56">
        <v>4267</v>
      </c>
      <c r="H14" s="48">
        <v>2249</v>
      </c>
      <c r="I14" s="48">
        <f>F14+G14-H14</f>
        <v>12296</v>
      </c>
      <c r="J14" s="48">
        <f>I14+E14</f>
        <v>19288</v>
      </c>
      <c r="K14" s="57">
        <v>10461</v>
      </c>
      <c r="L14" s="57">
        <v>10818</v>
      </c>
      <c r="M14" s="58">
        <f>K14-L14</f>
        <v>-357</v>
      </c>
      <c r="N14" s="58">
        <f>J14+M14</f>
        <v>18931</v>
      </c>
      <c r="O14" s="59">
        <v>5200393</v>
      </c>
      <c r="P14" s="68">
        <f>(O14-O10)/O10</f>
        <v>5.9692022590039527E-3</v>
      </c>
    </row>
    <row r="15" spans="1:16" x14ac:dyDescent="0.35">
      <c r="A15" s="91">
        <f>A11+1</f>
        <v>2021</v>
      </c>
      <c r="B15" s="60">
        <v>2</v>
      </c>
      <c r="C15" s="45">
        <v>26828</v>
      </c>
      <c r="D15" s="45">
        <v>15361</v>
      </c>
      <c r="E15" s="61">
        <v>11467</v>
      </c>
      <c r="F15" s="45">
        <v>12722</v>
      </c>
      <c r="G15" s="61">
        <v>2711</v>
      </c>
      <c r="H15" s="49">
        <v>1725</v>
      </c>
      <c r="I15" s="49">
        <f>F15+G15-H15</f>
        <v>13708</v>
      </c>
      <c r="J15" s="49">
        <f>I15+E15</f>
        <v>25175</v>
      </c>
      <c r="K15" s="11">
        <v>11284</v>
      </c>
      <c r="L15" s="11">
        <v>10830</v>
      </c>
      <c r="M15" s="62">
        <f>K15-L15</f>
        <v>454</v>
      </c>
      <c r="N15" s="62">
        <f>J15+M15</f>
        <v>25629</v>
      </c>
      <c r="O15" s="63">
        <v>5226665</v>
      </c>
      <c r="P15" s="69">
        <f>(O15-O11)/O11</f>
        <v>9.7687429205882952E-3</v>
      </c>
    </row>
    <row r="16" spans="1:16" x14ac:dyDescent="0.35">
      <c r="A16" s="92">
        <f>A12+1</f>
        <v>2021</v>
      </c>
      <c r="B16" s="9">
        <v>3</v>
      </c>
      <c r="C16" s="6">
        <v>20975</v>
      </c>
      <c r="D16" s="6">
        <v>13097</v>
      </c>
      <c r="E16" s="7">
        <v>7878</v>
      </c>
      <c r="F16" s="6">
        <v>23138</v>
      </c>
      <c r="G16" s="7">
        <v>12537</v>
      </c>
      <c r="H16" s="8">
        <v>1381</v>
      </c>
      <c r="I16" s="8">
        <f>F16+G16-H16</f>
        <v>34294</v>
      </c>
      <c r="J16" s="8">
        <f>I16+E16</f>
        <v>42172</v>
      </c>
      <c r="K16" s="11">
        <v>11536</v>
      </c>
      <c r="L16" s="11">
        <v>10882</v>
      </c>
      <c r="M16" s="10">
        <f>K16-L16</f>
        <v>654</v>
      </c>
      <c r="N16" s="10">
        <f>J16+M16</f>
        <v>42826</v>
      </c>
      <c r="O16" s="63">
        <v>5269491</v>
      </c>
      <c r="P16" s="70">
        <f>(O16-O12)/O12</f>
        <v>1.8476405401268211E-2</v>
      </c>
    </row>
    <row r="17" spans="1:19" ht="15" thickBot="1" x14ac:dyDescent="0.4">
      <c r="A17" s="93">
        <f>A13+1</f>
        <v>2021</v>
      </c>
      <c r="B17" s="60">
        <v>4</v>
      </c>
      <c r="C17" s="45">
        <v>13246</v>
      </c>
      <c r="D17" s="45">
        <v>8536</v>
      </c>
      <c r="E17" s="61">
        <v>4710</v>
      </c>
      <c r="F17" s="45">
        <v>23334</v>
      </c>
      <c r="G17" s="65">
        <v>-6010</v>
      </c>
      <c r="H17" s="49">
        <v>2556</v>
      </c>
      <c r="I17" s="49">
        <f>F17+G17-H17</f>
        <v>14768</v>
      </c>
      <c r="J17" s="49">
        <f>I17+E17</f>
        <v>19478</v>
      </c>
      <c r="K17" s="11">
        <v>10761</v>
      </c>
      <c r="L17" s="11">
        <v>12066</v>
      </c>
      <c r="M17" s="66">
        <f>K17-L17</f>
        <v>-1305</v>
      </c>
      <c r="N17" s="66">
        <f>J17+M17</f>
        <v>18173</v>
      </c>
      <c r="O17" s="63">
        <v>5287664</v>
      </c>
      <c r="P17" s="71">
        <f>(O17-O13)/O13</f>
        <v>2.0781600053281699E-2</v>
      </c>
    </row>
    <row r="18" spans="1:19" x14ac:dyDescent="0.35">
      <c r="A18" s="90">
        <f>A14+1</f>
        <v>2022</v>
      </c>
      <c r="B18" s="55">
        <v>1</v>
      </c>
      <c r="C18" s="44">
        <v>17408</v>
      </c>
      <c r="D18" s="44">
        <v>12386</v>
      </c>
      <c r="E18" s="56">
        <f>C18-D18</f>
        <v>5022</v>
      </c>
      <c r="F18" s="44">
        <v>20737</v>
      </c>
      <c r="G18" s="56">
        <v>5817</v>
      </c>
      <c r="H18" s="48">
        <v>3483</v>
      </c>
      <c r="I18" s="48">
        <f>F18+G18-H18</f>
        <v>23071</v>
      </c>
      <c r="J18" s="48">
        <f>I18+E18</f>
        <v>28093</v>
      </c>
      <c r="K18" s="57">
        <v>10055</v>
      </c>
      <c r="L18" s="57">
        <v>11931</v>
      </c>
      <c r="M18" s="58">
        <f>K18-L18</f>
        <v>-1876</v>
      </c>
      <c r="N18" s="58">
        <f>J18+M18</f>
        <v>26217</v>
      </c>
      <c r="O18" s="59">
        <v>5313881</v>
      </c>
      <c r="P18" s="68">
        <f>(O18-O14)/O14</f>
        <v>2.1822966071987252E-2</v>
      </c>
    </row>
    <row r="19" spans="1:19" x14ac:dyDescent="0.35">
      <c r="A19" s="91">
        <f>A15+1</f>
        <v>2022</v>
      </c>
      <c r="B19" s="60">
        <v>2</v>
      </c>
      <c r="C19" s="45">
        <v>32030</v>
      </c>
      <c r="D19" s="45">
        <v>23571</v>
      </c>
      <c r="E19" s="61">
        <f t="shared" ref="E19:E21" si="0">C19-D19</f>
        <v>8459</v>
      </c>
      <c r="F19" s="45">
        <v>16013</v>
      </c>
      <c r="G19" s="61">
        <v>22992</v>
      </c>
      <c r="H19" s="49">
        <v>2313</v>
      </c>
      <c r="I19" s="49">
        <f>F19+G19-H19</f>
        <v>36692</v>
      </c>
      <c r="J19" s="49">
        <f>I19+E19</f>
        <v>45151</v>
      </c>
      <c r="K19" s="11">
        <v>10661</v>
      </c>
      <c r="L19" s="11">
        <v>10848</v>
      </c>
      <c r="M19" s="62">
        <f>K19-L19</f>
        <v>-187</v>
      </c>
      <c r="N19" s="62">
        <f>J19+M19</f>
        <v>44964</v>
      </c>
      <c r="O19" s="63">
        <v>5358845</v>
      </c>
      <c r="P19" s="69">
        <f>(O19-O15)/O15</f>
        <v>2.5289548880595945E-2</v>
      </c>
    </row>
    <row r="20" spans="1:19" x14ac:dyDescent="0.35">
      <c r="A20" s="92">
        <f>A16+1</f>
        <v>2022</v>
      </c>
      <c r="B20" s="9">
        <v>3</v>
      </c>
      <c r="C20" s="6">
        <v>15758</v>
      </c>
      <c r="D20" s="6">
        <v>17896</v>
      </c>
      <c r="E20" s="7">
        <f t="shared" si="0"/>
        <v>-2138</v>
      </c>
      <c r="F20" s="6">
        <v>16087</v>
      </c>
      <c r="G20" s="7">
        <v>36376</v>
      </c>
      <c r="H20" s="8">
        <v>3160</v>
      </c>
      <c r="I20" s="8">
        <f>F20+G20-H20</f>
        <v>49303</v>
      </c>
      <c r="J20" s="8">
        <f>I20+E20</f>
        <v>47165</v>
      </c>
      <c r="K20" s="11">
        <v>10937</v>
      </c>
      <c r="L20" s="11">
        <v>10888</v>
      </c>
      <c r="M20" s="10">
        <f>K20-L20</f>
        <v>49</v>
      </c>
      <c r="N20" s="10">
        <f>J20+M20</f>
        <v>47214</v>
      </c>
      <c r="O20" s="63">
        <v>5406059</v>
      </c>
      <c r="P20" s="70">
        <f>(O20-O16)/O16</f>
        <v>2.5916734652360163E-2</v>
      </c>
    </row>
    <row r="21" spans="1:19" ht="15" thickBot="1" x14ac:dyDescent="0.4">
      <c r="A21" s="93">
        <f>A17+1</f>
        <v>2022</v>
      </c>
      <c r="B21" s="60">
        <v>4</v>
      </c>
      <c r="C21" s="45">
        <v>11178</v>
      </c>
      <c r="D21" s="45">
        <v>11196</v>
      </c>
      <c r="E21" s="61">
        <f t="shared" si="0"/>
        <v>-18</v>
      </c>
      <c r="F21" s="45">
        <v>8392</v>
      </c>
      <c r="G21" s="65">
        <v>23806</v>
      </c>
      <c r="H21" s="49">
        <v>3330</v>
      </c>
      <c r="I21" s="49">
        <f>F21+G21-H21</f>
        <v>28868</v>
      </c>
      <c r="J21" s="49">
        <f>I21+E21</f>
        <v>28850</v>
      </c>
      <c r="K21" s="11">
        <v>10192</v>
      </c>
      <c r="L21" s="11">
        <v>12162</v>
      </c>
      <c r="M21" s="66">
        <f>K21-L21</f>
        <v>-1970</v>
      </c>
      <c r="N21" s="66">
        <f>J21+M21</f>
        <v>26880</v>
      </c>
      <c r="O21" s="63">
        <v>5432939</v>
      </c>
      <c r="P21" s="71">
        <f>(O21-O17)/O17</f>
        <v>2.7474325146227142E-2</v>
      </c>
    </row>
    <row r="22" spans="1:19" x14ac:dyDescent="0.35">
      <c r="A22" s="90">
        <f>A18+1</f>
        <v>2023</v>
      </c>
      <c r="B22" s="55">
        <v>1</v>
      </c>
      <c r="C22" s="44">
        <v>18207</v>
      </c>
      <c r="D22" s="44">
        <v>16139</v>
      </c>
      <c r="E22" s="56">
        <f t="shared" ref="E22:E25" si="1">C22-D22</f>
        <v>2068</v>
      </c>
      <c r="F22" s="44">
        <v>24494</v>
      </c>
      <c r="G22" s="56">
        <v>13209</v>
      </c>
      <c r="H22" s="48">
        <v>4525</v>
      </c>
      <c r="I22" s="48">
        <f>F22+G22-H22</f>
        <v>33178</v>
      </c>
      <c r="J22" s="48">
        <f>I22+E22</f>
        <v>35246</v>
      </c>
      <c r="K22" s="57">
        <v>9824</v>
      </c>
      <c r="L22" s="57">
        <v>11443</v>
      </c>
      <c r="M22" s="58">
        <f>K22-L22</f>
        <v>-1619</v>
      </c>
      <c r="N22" s="58">
        <f>J22+M22</f>
        <v>33627</v>
      </c>
      <c r="O22" s="59">
        <v>5466566</v>
      </c>
      <c r="P22" s="68">
        <f>(O22-O18)/O18</f>
        <v>2.8733236592991075E-2</v>
      </c>
    </row>
    <row r="23" spans="1:19" x14ac:dyDescent="0.35">
      <c r="A23" s="91">
        <f>A19+1</f>
        <v>2023</v>
      </c>
      <c r="B23" s="60">
        <v>2</v>
      </c>
      <c r="C23" s="45">
        <v>24555</v>
      </c>
      <c r="D23" s="45">
        <v>21079</v>
      </c>
      <c r="E23" s="61">
        <f t="shared" si="1"/>
        <v>3476</v>
      </c>
      <c r="F23" s="45">
        <v>17307</v>
      </c>
      <c r="G23" s="61">
        <v>31359</v>
      </c>
      <c r="H23" s="49">
        <v>2654</v>
      </c>
      <c r="I23" s="49">
        <f>F23+G23-H23</f>
        <v>46012</v>
      </c>
      <c r="J23" s="49">
        <f>I23+E23</f>
        <v>49488</v>
      </c>
      <c r="K23" s="11">
        <v>10257</v>
      </c>
      <c r="L23" s="11">
        <v>11015</v>
      </c>
      <c r="M23" s="62">
        <f t="shared" ref="M23:M25" si="2">K23-L23</f>
        <v>-758</v>
      </c>
      <c r="N23" s="62">
        <f>J23+M23</f>
        <v>48730</v>
      </c>
      <c r="O23" s="63">
        <v>5515296</v>
      </c>
      <c r="P23" s="69">
        <f>(O23-O19)/O19</f>
        <v>2.9194910470446523E-2</v>
      </c>
    </row>
    <row r="24" spans="1:19" x14ac:dyDescent="0.35">
      <c r="A24" s="92">
        <f>A20+1</f>
        <v>2023</v>
      </c>
      <c r="B24" s="9">
        <v>3</v>
      </c>
      <c r="C24" s="6">
        <v>14055</v>
      </c>
      <c r="D24" s="6">
        <v>17242</v>
      </c>
      <c r="E24" s="7">
        <f t="shared" si="1"/>
        <v>-3187</v>
      </c>
      <c r="F24" s="6">
        <v>13754</v>
      </c>
      <c r="G24" s="7">
        <v>50237</v>
      </c>
      <c r="H24" s="8">
        <v>3872</v>
      </c>
      <c r="I24" s="8">
        <f>F24+G24-H24</f>
        <v>60119</v>
      </c>
      <c r="J24" s="8">
        <f>I24+E24</f>
        <v>56932</v>
      </c>
      <c r="K24" s="11">
        <v>10966</v>
      </c>
      <c r="L24" s="11">
        <v>10500</v>
      </c>
      <c r="M24" s="10">
        <f t="shared" si="2"/>
        <v>466</v>
      </c>
      <c r="N24" s="10">
        <f>J24+M24</f>
        <v>57398</v>
      </c>
      <c r="O24" s="63">
        <v>5572694</v>
      </c>
      <c r="P24" s="70">
        <f>(O24-O20)/O20</f>
        <v>3.0823747946517047E-2</v>
      </c>
      <c r="R24" s="94"/>
    </row>
    <row r="25" spans="1:19" ht="15" thickBot="1" x14ac:dyDescent="0.4">
      <c r="A25" s="93">
        <f>A21+1</f>
        <v>2023</v>
      </c>
      <c r="B25" s="60">
        <v>4</v>
      </c>
      <c r="C25" s="45">
        <v>8860</v>
      </c>
      <c r="D25" s="45">
        <v>10499</v>
      </c>
      <c r="E25" s="61">
        <f t="shared" si="1"/>
        <v>-1639</v>
      </c>
      <c r="F25" s="45">
        <v>15273</v>
      </c>
      <c r="G25" s="61">
        <v>19730</v>
      </c>
      <c r="H25" s="49">
        <v>3465</v>
      </c>
      <c r="I25" s="49">
        <f>F25+G25-H25</f>
        <v>31538</v>
      </c>
      <c r="J25" s="49">
        <f>I25+E25</f>
        <v>29899</v>
      </c>
      <c r="K25" s="11">
        <v>10219</v>
      </c>
      <c r="L25" s="11">
        <v>11788</v>
      </c>
      <c r="M25" s="66">
        <f t="shared" si="2"/>
        <v>-1569</v>
      </c>
      <c r="N25" s="66">
        <f>J25+M25</f>
        <v>28330</v>
      </c>
      <c r="O25" s="63">
        <v>5601024</v>
      </c>
      <c r="P25" s="71">
        <f>(O25-O21)/O21</f>
        <v>3.0938134957892955E-2</v>
      </c>
    </row>
    <row r="26" spans="1:19" x14ac:dyDescent="0.35">
      <c r="A26" s="90">
        <f>A22+1</f>
        <v>2024</v>
      </c>
      <c r="B26" s="55">
        <v>1</v>
      </c>
      <c r="C26" s="44">
        <v>15583</v>
      </c>
      <c r="D26" s="44">
        <v>16354</v>
      </c>
      <c r="E26" s="56">
        <f t="shared" ref="E26:E29" si="3">C26-D26</f>
        <v>-771</v>
      </c>
      <c r="F26" s="44">
        <v>17786</v>
      </c>
      <c r="G26" s="56">
        <v>26019</v>
      </c>
      <c r="H26" s="48">
        <v>4857</v>
      </c>
      <c r="I26" s="48">
        <f>F26+G26-H26</f>
        <v>38948</v>
      </c>
      <c r="J26" s="48">
        <f>I26+E26</f>
        <v>38177</v>
      </c>
      <c r="K26" s="57">
        <v>10392</v>
      </c>
      <c r="L26" s="57">
        <v>11550</v>
      </c>
      <c r="M26" s="58">
        <f>K26-L26</f>
        <v>-1158</v>
      </c>
      <c r="N26" s="58">
        <f>J26+M26</f>
        <v>37019</v>
      </c>
      <c r="O26" s="59">
        <v>5638043</v>
      </c>
      <c r="P26" s="68">
        <f>(O26-O22)/O22</f>
        <v>3.1368321538603944E-2</v>
      </c>
      <c r="Q26" s="95"/>
      <c r="S26" s="95"/>
    </row>
    <row r="27" spans="1:19" x14ac:dyDescent="0.35">
      <c r="A27" s="91">
        <f>A23+1</f>
        <v>2024</v>
      </c>
      <c r="B27" s="60">
        <v>2</v>
      </c>
      <c r="C27" s="45">
        <v>23818</v>
      </c>
      <c r="D27" s="45">
        <v>22348</v>
      </c>
      <c r="E27" s="61">
        <f t="shared" si="3"/>
        <v>1470</v>
      </c>
      <c r="F27" s="45">
        <v>16793</v>
      </c>
      <c r="G27" s="61">
        <v>16919</v>
      </c>
      <c r="H27" s="49">
        <v>2603</v>
      </c>
      <c r="I27" s="49">
        <f t="shared" ref="I27:I29" si="4">F27+G27-H27</f>
        <v>31109</v>
      </c>
      <c r="J27" s="49">
        <f>I27+E27</f>
        <v>32579</v>
      </c>
      <c r="K27" s="11">
        <v>11141</v>
      </c>
      <c r="L27" s="11">
        <v>10649</v>
      </c>
      <c r="M27" s="62">
        <f>K27-L27</f>
        <v>492</v>
      </c>
      <c r="N27" s="62">
        <f>J27+M27</f>
        <v>33071</v>
      </c>
      <c r="O27" s="63">
        <v>5671114</v>
      </c>
      <c r="P27" s="69">
        <f>(O27-O23)/O23</f>
        <v>2.8251974146083908E-2</v>
      </c>
      <c r="Q27" s="95"/>
      <c r="S27" s="95"/>
    </row>
    <row r="28" spans="1:19" x14ac:dyDescent="0.35">
      <c r="A28" s="92">
        <v>2024</v>
      </c>
      <c r="B28" s="9">
        <v>3</v>
      </c>
      <c r="C28" s="6">
        <v>12486</v>
      </c>
      <c r="D28" s="6">
        <v>14662</v>
      </c>
      <c r="E28" s="7">
        <f t="shared" si="3"/>
        <v>-2176</v>
      </c>
      <c r="F28" s="6">
        <v>15807</v>
      </c>
      <c r="G28" s="7">
        <v>15174</v>
      </c>
      <c r="H28" s="8">
        <v>3988</v>
      </c>
      <c r="I28" s="8">
        <f t="shared" si="4"/>
        <v>26993</v>
      </c>
      <c r="J28" s="8">
        <f>I28+E28</f>
        <v>24817</v>
      </c>
      <c r="K28" s="11">
        <v>11435</v>
      </c>
      <c r="L28" s="11">
        <v>10514</v>
      </c>
      <c r="M28" s="10">
        <f t="shared" ref="M28:M29" si="5">K28-L28</f>
        <v>921</v>
      </c>
      <c r="N28" s="10">
        <f>J28+M28</f>
        <v>25738</v>
      </c>
      <c r="O28" s="63">
        <v>5696852</v>
      </c>
      <c r="P28" s="70">
        <f>(O28-O24)/O24</f>
        <v>2.2279708880480427E-2</v>
      </c>
      <c r="Q28" s="95"/>
      <c r="S28" s="95"/>
    </row>
    <row r="29" spans="1:19" ht="15" thickBot="1" x14ac:dyDescent="0.4">
      <c r="A29" s="93">
        <f>A25+1</f>
        <v>2024</v>
      </c>
      <c r="B29" s="60">
        <v>4</v>
      </c>
      <c r="C29" s="45">
        <v>7973</v>
      </c>
      <c r="D29" s="45">
        <v>8633</v>
      </c>
      <c r="E29" s="65">
        <f t="shared" si="3"/>
        <v>-660</v>
      </c>
      <c r="F29" s="45">
        <v>12740</v>
      </c>
      <c r="G29" s="61">
        <v>-5085</v>
      </c>
      <c r="H29" s="50">
        <v>3568</v>
      </c>
      <c r="I29" s="49">
        <f t="shared" si="4"/>
        <v>4087</v>
      </c>
      <c r="J29" s="49">
        <f>I29+E29</f>
        <v>3427</v>
      </c>
      <c r="K29" s="41">
        <v>10918</v>
      </c>
      <c r="L29" s="41">
        <v>11208</v>
      </c>
      <c r="M29" s="66">
        <f t="shared" si="5"/>
        <v>-290</v>
      </c>
      <c r="N29" s="66">
        <f>J29+M29</f>
        <v>3137</v>
      </c>
      <c r="O29" s="67">
        <v>5699989</v>
      </c>
      <c r="P29" s="71">
        <f>(O29-O25)/O25</f>
        <v>1.7669090509164039E-2</v>
      </c>
      <c r="Q29" s="95"/>
      <c r="S29" s="95"/>
    </row>
    <row r="30" spans="1:19" ht="14.5" customHeight="1" x14ac:dyDescent="0.35">
      <c r="A30" s="90">
        <f>A26+1</f>
        <v>2025</v>
      </c>
      <c r="B30" s="55">
        <v>1</v>
      </c>
      <c r="C30" s="44">
        <v>12930</v>
      </c>
      <c r="D30" s="44">
        <v>14164</v>
      </c>
      <c r="E30" s="56">
        <f t="shared" ref="E30" si="6">C30-D30</f>
        <v>-1234</v>
      </c>
      <c r="F30" s="44">
        <v>14916</v>
      </c>
      <c r="G30" s="56">
        <v>-8002</v>
      </c>
      <c r="H30" s="48">
        <v>5007</v>
      </c>
      <c r="I30" s="48">
        <f t="shared" ref="I30:I32" si="7">F30+G30-H30</f>
        <v>1907</v>
      </c>
      <c r="J30" s="48">
        <f>I30+E30</f>
        <v>673</v>
      </c>
      <c r="K30" s="57">
        <v>10724</v>
      </c>
      <c r="L30" s="57">
        <v>11696</v>
      </c>
      <c r="M30" s="58">
        <f>K30-L30</f>
        <v>-972</v>
      </c>
      <c r="N30" s="58">
        <f>J30+M30</f>
        <v>-299</v>
      </c>
      <c r="O30" s="59">
        <v>5699690</v>
      </c>
      <c r="P30" s="68">
        <f>(O30-O26)/O26</f>
        <v>1.0934113131098858E-2</v>
      </c>
    </row>
    <row r="31" spans="1:19" ht="14.5" customHeight="1" x14ac:dyDescent="0.35">
      <c r="A31" s="91">
        <f>A27+1</f>
        <v>2025</v>
      </c>
      <c r="B31" s="60">
        <v>2</v>
      </c>
      <c r="C31" s="45">
        <v>20846</v>
      </c>
      <c r="D31" s="45">
        <v>19168</v>
      </c>
      <c r="E31" s="61">
        <f>C31-D31</f>
        <v>1678</v>
      </c>
      <c r="F31" s="45">
        <v>12740</v>
      </c>
      <c r="G31" s="61">
        <v>-14699</v>
      </c>
      <c r="H31" s="49">
        <v>2683</v>
      </c>
      <c r="I31" s="107">
        <f t="shared" si="7"/>
        <v>-4642</v>
      </c>
      <c r="J31" s="107">
        <f>I31+E31</f>
        <v>-2964</v>
      </c>
      <c r="K31" s="11">
        <v>11294</v>
      </c>
      <c r="L31" s="11">
        <v>10484</v>
      </c>
      <c r="M31" s="62">
        <f>K31-L31</f>
        <v>810</v>
      </c>
      <c r="N31" s="62">
        <f>J31+M31</f>
        <v>-2154</v>
      </c>
      <c r="O31" s="63">
        <v>5697536</v>
      </c>
      <c r="P31" s="69">
        <f>(O31-O27)/O27</f>
        <v>4.6590493507977443E-3</v>
      </c>
    </row>
    <row r="32" spans="1:19" x14ac:dyDescent="0.35">
      <c r="A32" s="92">
        <v>2025</v>
      </c>
      <c r="B32" s="9">
        <v>3</v>
      </c>
      <c r="C32" s="6">
        <v>13547</v>
      </c>
      <c r="D32" s="6">
        <v>12043</v>
      </c>
      <c r="E32" s="7">
        <f t="shared" ref="E32" si="8">C32-D32</f>
        <v>1504</v>
      </c>
      <c r="F32" s="6">
        <v>13025</v>
      </c>
      <c r="G32" s="7">
        <v>-26242</v>
      </c>
      <c r="H32" s="8">
        <v>4026</v>
      </c>
      <c r="I32" s="108">
        <f t="shared" si="7"/>
        <v>-17243</v>
      </c>
      <c r="J32" s="108">
        <f>I32+E32</f>
        <v>-15739</v>
      </c>
      <c r="K32" s="11">
        <v>11670</v>
      </c>
      <c r="L32" s="11">
        <v>10266</v>
      </c>
      <c r="M32" s="7">
        <f t="shared" ref="M32" si="9">K32-L32</f>
        <v>1404</v>
      </c>
      <c r="N32" s="108">
        <f>J32+M32</f>
        <v>-14335</v>
      </c>
      <c r="O32" s="63">
        <v>5683201</v>
      </c>
      <c r="P32" s="109">
        <f>(O32-O28)/O28</f>
        <v>-2.3962356754221453E-3</v>
      </c>
      <c r="Q32" s="95"/>
      <c r="S32" s="95"/>
    </row>
    <row r="33" spans="1:16" ht="14.5" customHeight="1" x14ac:dyDescent="0.35">
      <c r="A33" s="91">
        <f>A29+1</f>
        <v>2025</v>
      </c>
      <c r="B33" s="60">
        <v>4</v>
      </c>
      <c r="C33" s="45">
        <v>9047</v>
      </c>
      <c r="D33" s="45">
        <v>7820</v>
      </c>
      <c r="E33" s="61">
        <f>C33-D33</f>
        <v>1227</v>
      </c>
      <c r="F33" s="45">
        <v>9988</v>
      </c>
      <c r="G33" s="61">
        <v>-31972</v>
      </c>
      <c r="H33" s="49">
        <v>3601</v>
      </c>
      <c r="I33" s="107">
        <f>F33+G33-H33</f>
        <v>-25585</v>
      </c>
      <c r="J33" s="107">
        <f>I33+E33</f>
        <v>-24358</v>
      </c>
      <c r="K33" s="11">
        <v>10864</v>
      </c>
      <c r="L33" s="11">
        <v>11179</v>
      </c>
      <c r="M33" s="62">
        <f>K33-L33</f>
        <v>-315</v>
      </c>
      <c r="N33" s="107">
        <f>J33+M33</f>
        <v>-24673</v>
      </c>
      <c r="O33" s="63">
        <v>5658528</v>
      </c>
      <c r="P33" s="110">
        <f>(O33-O29)/O29</f>
        <v>-7.2738736864229039E-3</v>
      </c>
    </row>
    <row r="34" spans="1:16" ht="14.5" customHeight="1" x14ac:dyDescent="0.35">
      <c r="D34" s="73"/>
      <c r="I34" s="76"/>
      <c r="J34" s="76"/>
    </row>
    <row r="35" spans="1:16" ht="14.5" customHeight="1" x14ac:dyDescent="0.35">
      <c r="E35" s="42"/>
      <c r="F35" s="47" t="s">
        <v>17</v>
      </c>
      <c r="G35" s="77"/>
      <c r="H35"/>
      <c r="J35" s="72" t="s">
        <v>15</v>
      </c>
      <c r="K35" s="72"/>
      <c r="L35" s="72"/>
      <c r="M35" s="10"/>
      <c r="P35" s="5"/>
    </row>
    <row r="36" spans="1:16" x14ac:dyDescent="0.35">
      <c r="E36" s="42"/>
      <c r="F36" s="117">
        <v>46086</v>
      </c>
      <c r="G36" s="117"/>
      <c r="H36" s="78"/>
      <c r="J36" s="77" t="s">
        <v>52</v>
      </c>
      <c r="O36"/>
      <c r="P36" s="5"/>
    </row>
    <row r="37" spans="1:16" ht="13.5" customHeight="1" x14ac:dyDescent="0.35">
      <c r="C37" s="75"/>
      <c r="E37" s="42"/>
      <c r="F37" s="47"/>
      <c r="J37" s="79" t="s">
        <v>47</v>
      </c>
      <c r="K37" s="79"/>
      <c r="L37" s="79"/>
      <c r="M37" s="79"/>
      <c r="N37" s="79"/>
      <c r="O37" s="79"/>
      <c r="P37" s="79"/>
    </row>
    <row r="38" spans="1:16" ht="14.5" customHeight="1" x14ac:dyDescent="0.35">
      <c r="C38" s="75"/>
      <c r="E38" s="42"/>
      <c r="F38" s="47" t="s">
        <v>11</v>
      </c>
      <c r="G38" s="77"/>
      <c r="I38" s="74"/>
      <c r="J38" s="116" t="s">
        <v>13</v>
      </c>
      <c r="K38" s="116"/>
      <c r="L38" s="116"/>
      <c r="M38" s="116"/>
      <c r="N38" s="116"/>
      <c r="O38" s="116"/>
      <c r="P38" s="116"/>
    </row>
    <row r="39" spans="1:16" x14ac:dyDescent="0.35">
      <c r="C39" s="75"/>
      <c r="J39" s="116"/>
      <c r="K39" s="116"/>
      <c r="L39" s="116"/>
      <c r="M39" s="116"/>
      <c r="N39" s="116"/>
      <c r="O39" s="116"/>
      <c r="P39" s="116"/>
    </row>
    <row r="40" spans="1:16" x14ac:dyDescent="0.35">
      <c r="C40" s="75"/>
      <c r="J40" s="77" t="s">
        <v>10</v>
      </c>
      <c r="K40" s="77"/>
      <c r="L40" s="77"/>
      <c r="M40" s="77"/>
      <c r="N40" s="77"/>
      <c r="P40" s="5"/>
    </row>
    <row r="41" spans="1:16" x14ac:dyDescent="0.35">
      <c r="C41" s="75"/>
      <c r="D41" s="76"/>
    </row>
  </sheetData>
  <mergeCells count="2">
    <mergeCell ref="F36:G36"/>
    <mergeCell ref="J38:P39"/>
  </mergeCells>
  <printOptions horizontalCentered="1"/>
  <pageMargins left="0.55118110236220474" right="0.55118110236220474" top="0.15748031496062992" bottom="0.15748031496062992" header="0.31496062992125984" footer="0.15748031496062992"/>
  <pageSetup scale="65" fitToHeight="2" orientation="landscape" r:id="rId1"/>
  <headerFooter>
    <oddFooter>&amp;RPage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0072-115C-4742-9767-644883E44B4C}">
  <sheetPr>
    <tabColor theme="4"/>
    <pageSetUpPr fitToPage="1"/>
  </sheetPr>
  <dimension ref="B2:R133"/>
  <sheetViews>
    <sheetView showGridLines="0" tabSelected="1" zoomScaleNormal="100" workbookViewId="0">
      <selection activeCell="H10" sqref="H10"/>
    </sheetView>
  </sheetViews>
  <sheetFormatPr defaultRowHeight="14.5" x14ac:dyDescent="0.35"/>
  <cols>
    <col min="3" max="3" width="15.81640625" customWidth="1"/>
    <col min="4" max="14" width="13.453125" customWidth="1"/>
  </cols>
  <sheetData>
    <row r="2" spans="2:18" ht="26" x14ac:dyDescent="0.6">
      <c r="D2" s="80" t="s">
        <v>54</v>
      </c>
      <c r="E2" s="80"/>
      <c r="F2" s="80"/>
      <c r="G2" s="80"/>
      <c r="H2" s="80"/>
      <c r="I2" s="80"/>
      <c r="J2" s="80"/>
      <c r="K2" s="80"/>
      <c r="L2" s="80"/>
      <c r="M2" s="80"/>
      <c r="N2" s="80"/>
      <c r="O2" s="80"/>
      <c r="P2" s="80"/>
      <c r="Q2" s="80"/>
      <c r="R2" s="80"/>
    </row>
    <row r="5" spans="2:18" ht="72.5" x14ac:dyDescent="0.35">
      <c r="C5" s="81" t="s">
        <v>50</v>
      </c>
      <c r="D5" s="81" t="s">
        <v>9</v>
      </c>
      <c r="E5" s="81" t="s">
        <v>45</v>
      </c>
      <c r="F5" s="81" t="s">
        <v>1</v>
      </c>
      <c r="G5" s="81" t="s">
        <v>2</v>
      </c>
      <c r="H5" s="81" t="s">
        <v>3</v>
      </c>
      <c r="I5" s="81" t="s">
        <v>4</v>
      </c>
      <c r="J5" s="81" t="s">
        <v>46</v>
      </c>
      <c r="K5" s="81" t="s">
        <v>5</v>
      </c>
      <c r="L5" s="81" t="s">
        <v>6</v>
      </c>
      <c r="M5" s="81" t="s">
        <v>7</v>
      </c>
      <c r="N5" s="81" t="s">
        <v>8</v>
      </c>
    </row>
    <row r="6" spans="2:18" x14ac:dyDescent="0.35">
      <c r="B6" s="99"/>
      <c r="C6" s="82">
        <v>44378</v>
      </c>
      <c r="D6" s="101">
        <v>263984</v>
      </c>
      <c r="E6" s="101">
        <v>8953</v>
      </c>
      <c r="F6" s="101">
        <v>4999</v>
      </c>
      <c r="G6" s="101">
        <v>207</v>
      </c>
      <c r="H6" s="101">
        <v>254</v>
      </c>
      <c r="I6" s="101">
        <v>3493</v>
      </c>
      <c r="J6" s="101">
        <v>255031</v>
      </c>
      <c r="K6" s="101">
        <v>122528</v>
      </c>
      <c r="L6" s="101">
        <v>95060</v>
      </c>
      <c r="M6" s="101">
        <v>27145</v>
      </c>
      <c r="N6" s="101">
        <v>10298</v>
      </c>
    </row>
    <row r="7" spans="2:18" x14ac:dyDescent="0.35">
      <c r="B7" s="99"/>
      <c r="C7" s="97">
        <v>44470</v>
      </c>
      <c r="D7" s="100">
        <v>276521</v>
      </c>
      <c r="E7" s="100">
        <v>8714</v>
      </c>
      <c r="F7" s="100">
        <v>4734</v>
      </c>
      <c r="G7" s="100">
        <v>184</v>
      </c>
      <c r="H7" s="100">
        <v>246</v>
      </c>
      <c r="I7" s="100">
        <v>3550</v>
      </c>
      <c r="J7" s="100">
        <v>267807</v>
      </c>
      <c r="K7" s="100">
        <v>121923</v>
      </c>
      <c r="L7" s="100">
        <v>109382</v>
      </c>
      <c r="M7" s="100">
        <v>25813</v>
      </c>
      <c r="N7" s="100">
        <v>10689</v>
      </c>
    </row>
    <row r="8" spans="2:18" x14ac:dyDescent="0.35">
      <c r="B8" s="99"/>
      <c r="C8" s="82">
        <v>44562</v>
      </c>
      <c r="D8" s="101">
        <v>270511</v>
      </c>
      <c r="E8" s="101">
        <v>8395</v>
      </c>
      <c r="F8" s="101">
        <v>4182</v>
      </c>
      <c r="G8" s="101">
        <v>160</v>
      </c>
      <c r="H8" s="101">
        <v>243</v>
      </c>
      <c r="I8" s="101">
        <v>3810</v>
      </c>
      <c r="J8" s="101">
        <v>262116</v>
      </c>
      <c r="K8" s="101">
        <v>114601</v>
      </c>
      <c r="L8" s="101">
        <v>112703</v>
      </c>
      <c r="M8" s="101">
        <v>24395</v>
      </c>
      <c r="N8" s="101">
        <v>10417</v>
      </c>
    </row>
    <row r="9" spans="2:18" x14ac:dyDescent="0.35">
      <c r="B9" s="99"/>
      <c r="C9" s="97">
        <v>44652</v>
      </c>
      <c r="D9" s="100">
        <v>276328</v>
      </c>
      <c r="E9" s="100">
        <v>8375</v>
      </c>
      <c r="F9" s="100">
        <v>3782</v>
      </c>
      <c r="G9" s="100">
        <v>175</v>
      </c>
      <c r="H9" s="100">
        <v>220</v>
      </c>
      <c r="I9" s="100">
        <v>4198</v>
      </c>
      <c r="J9" s="100">
        <v>267953</v>
      </c>
      <c r="K9" s="100">
        <v>118421</v>
      </c>
      <c r="L9" s="100">
        <v>113172</v>
      </c>
      <c r="M9" s="100">
        <v>24928</v>
      </c>
      <c r="N9" s="100">
        <v>11432</v>
      </c>
    </row>
    <row r="10" spans="2:18" x14ac:dyDescent="0.35">
      <c r="B10" s="99"/>
      <c r="C10" s="82">
        <v>44743</v>
      </c>
      <c r="D10" s="101">
        <v>299320</v>
      </c>
      <c r="E10" s="101">
        <v>8786</v>
      </c>
      <c r="F10" s="101">
        <v>4335</v>
      </c>
      <c r="G10" s="101">
        <v>171</v>
      </c>
      <c r="H10" s="101">
        <v>236</v>
      </c>
      <c r="I10" s="101">
        <v>4044</v>
      </c>
      <c r="J10" s="101">
        <v>290534</v>
      </c>
      <c r="K10" s="101">
        <v>131464</v>
      </c>
      <c r="L10" s="101">
        <v>118563</v>
      </c>
      <c r="M10" s="101">
        <v>28121</v>
      </c>
      <c r="N10" s="101">
        <v>12386</v>
      </c>
    </row>
    <row r="11" spans="2:18" x14ac:dyDescent="0.35">
      <c r="B11" s="99"/>
      <c r="C11" s="97">
        <v>44835</v>
      </c>
      <c r="D11" s="100">
        <v>335696</v>
      </c>
      <c r="E11" s="100">
        <v>9193</v>
      </c>
      <c r="F11" s="100">
        <v>5151</v>
      </c>
      <c r="G11" s="100">
        <v>116</v>
      </c>
      <c r="H11" s="100">
        <v>258</v>
      </c>
      <c r="I11" s="100">
        <v>3668</v>
      </c>
      <c r="J11" s="100">
        <v>326503</v>
      </c>
      <c r="K11" s="100">
        <v>154736</v>
      </c>
      <c r="L11" s="100">
        <v>127393</v>
      </c>
      <c r="M11" s="100">
        <v>30429</v>
      </c>
      <c r="N11" s="100">
        <v>13945</v>
      </c>
    </row>
    <row r="12" spans="2:18" x14ac:dyDescent="0.35">
      <c r="B12" s="99"/>
      <c r="C12" s="82">
        <v>44927</v>
      </c>
      <c r="D12" s="101">
        <v>359502</v>
      </c>
      <c r="E12" s="101">
        <v>10394</v>
      </c>
      <c r="F12" s="101">
        <v>6250</v>
      </c>
      <c r="G12" s="101">
        <v>108</v>
      </c>
      <c r="H12" s="101">
        <v>332</v>
      </c>
      <c r="I12" s="101">
        <v>3704</v>
      </c>
      <c r="J12" s="101">
        <v>349108</v>
      </c>
      <c r="K12" s="101">
        <v>166856</v>
      </c>
      <c r="L12" s="101">
        <v>135498</v>
      </c>
      <c r="M12" s="101">
        <v>31801</v>
      </c>
      <c r="N12" s="101">
        <v>14953</v>
      </c>
    </row>
    <row r="13" spans="2:18" x14ac:dyDescent="0.35">
      <c r="B13" s="99"/>
      <c r="C13" s="97">
        <v>45017</v>
      </c>
      <c r="D13" s="100">
        <v>372711</v>
      </c>
      <c r="E13" s="100">
        <v>11309</v>
      </c>
      <c r="F13" s="100">
        <v>7015</v>
      </c>
      <c r="G13" s="100">
        <v>163</v>
      </c>
      <c r="H13" s="100">
        <v>409</v>
      </c>
      <c r="I13" s="100">
        <v>3722</v>
      </c>
      <c r="J13" s="100">
        <v>361402</v>
      </c>
      <c r="K13" s="100">
        <v>177328</v>
      </c>
      <c r="L13" s="100">
        <v>133509</v>
      </c>
      <c r="M13" s="100">
        <v>34828</v>
      </c>
      <c r="N13" s="100">
        <v>15737</v>
      </c>
    </row>
    <row r="14" spans="2:18" x14ac:dyDescent="0.35">
      <c r="B14" s="99"/>
      <c r="C14" s="82">
        <v>45108</v>
      </c>
      <c r="D14" s="101">
        <v>404070</v>
      </c>
      <c r="E14" s="101">
        <v>12655</v>
      </c>
      <c r="F14" s="101">
        <v>7774</v>
      </c>
      <c r="G14" s="101">
        <v>173</v>
      </c>
      <c r="H14" s="101">
        <v>507</v>
      </c>
      <c r="I14" s="101">
        <v>4201</v>
      </c>
      <c r="J14" s="101">
        <v>391415</v>
      </c>
      <c r="K14" s="101">
        <v>194382</v>
      </c>
      <c r="L14" s="101">
        <v>140482</v>
      </c>
      <c r="M14" s="101">
        <v>39461</v>
      </c>
      <c r="N14" s="101">
        <v>17090</v>
      </c>
    </row>
    <row r="15" spans="2:18" ht="15" thickBot="1" x14ac:dyDescent="0.4">
      <c r="B15" s="99"/>
      <c r="C15" s="98">
        <v>45200</v>
      </c>
      <c r="D15" s="100">
        <v>454307</v>
      </c>
      <c r="E15" s="100">
        <v>14433</v>
      </c>
      <c r="F15" s="100">
        <v>8877</v>
      </c>
      <c r="G15" s="100">
        <v>168</v>
      </c>
      <c r="H15" s="100">
        <v>595</v>
      </c>
      <c r="I15" s="100">
        <v>4793</v>
      </c>
      <c r="J15" s="100">
        <v>439874</v>
      </c>
      <c r="K15" s="100">
        <v>226045</v>
      </c>
      <c r="L15" s="100">
        <v>152172</v>
      </c>
      <c r="M15" s="100">
        <v>42325</v>
      </c>
      <c r="N15" s="100">
        <v>19332</v>
      </c>
    </row>
    <row r="16" spans="2:18" ht="15" thickBot="1" x14ac:dyDescent="0.4">
      <c r="B16" s="99"/>
      <c r="C16" s="88">
        <v>45292</v>
      </c>
      <c r="D16" s="101">
        <v>474037</v>
      </c>
      <c r="E16" s="101">
        <v>16530</v>
      </c>
      <c r="F16" s="101">
        <v>10285</v>
      </c>
      <c r="G16" s="101">
        <v>180</v>
      </c>
      <c r="H16" s="101">
        <v>729</v>
      </c>
      <c r="I16" s="101">
        <v>5336</v>
      </c>
      <c r="J16" s="101">
        <v>457507</v>
      </c>
      <c r="K16" s="101">
        <v>233066</v>
      </c>
      <c r="L16" s="101">
        <v>157268</v>
      </c>
      <c r="M16" s="101">
        <v>45844</v>
      </c>
      <c r="N16" s="101">
        <v>21329</v>
      </c>
    </row>
    <row r="17" spans="2:17" ht="15" thickBot="1" x14ac:dyDescent="0.4">
      <c r="B17" s="99"/>
      <c r="C17" s="102">
        <v>45383</v>
      </c>
      <c r="D17" s="103">
        <v>500056</v>
      </c>
      <c r="E17" s="103">
        <v>18589</v>
      </c>
      <c r="F17" s="103">
        <v>12217</v>
      </c>
      <c r="G17" s="103">
        <v>228</v>
      </c>
      <c r="H17" s="103">
        <v>884</v>
      </c>
      <c r="I17" s="103">
        <v>5260</v>
      </c>
      <c r="J17" s="103">
        <v>481467</v>
      </c>
      <c r="K17" s="103">
        <v>249936</v>
      </c>
      <c r="L17" s="103">
        <v>155433</v>
      </c>
      <c r="M17" s="103">
        <v>52326</v>
      </c>
      <c r="N17" s="103">
        <v>23772</v>
      </c>
      <c r="P17" s="83"/>
      <c r="Q17" s="83"/>
    </row>
    <row r="18" spans="2:17" ht="15" thickBot="1" x14ac:dyDescent="0.4">
      <c r="B18" s="99"/>
      <c r="C18" s="96">
        <v>45474</v>
      </c>
      <c r="D18" s="105">
        <v>516975</v>
      </c>
      <c r="E18" s="105">
        <v>20860</v>
      </c>
      <c r="F18" s="105">
        <v>13899</v>
      </c>
      <c r="G18" s="105">
        <v>253</v>
      </c>
      <c r="H18" s="105">
        <v>1081</v>
      </c>
      <c r="I18" s="105">
        <v>5627</v>
      </c>
      <c r="J18" s="105">
        <v>496115</v>
      </c>
      <c r="K18" s="105">
        <v>259838</v>
      </c>
      <c r="L18" s="105">
        <v>155166</v>
      </c>
      <c r="M18" s="105">
        <v>56637</v>
      </c>
      <c r="N18" s="105">
        <v>24474</v>
      </c>
      <c r="P18" s="83"/>
      <c r="Q18" s="83"/>
    </row>
    <row r="19" spans="2:17" ht="15" thickBot="1" x14ac:dyDescent="0.4">
      <c r="B19" s="99"/>
      <c r="C19" s="102">
        <v>45566</v>
      </c>
      <c r="D19" s="103">
        <v>532149</v>
      </c>
      <c r="E19" s="103">
        <v>22928</v>
      </c>
      <c r="F19" s="103">
        <v>15675</v>
      </c>
      <c r="G19" s="103">
        <v>252</v>
      </c>
      <c r="H19" s="103">
        <v>1142</v>
      </c>
      <c r="I19" s="103">
        <v>5859</v>
      </c>
      <c r="J19" s="103">
        <v>509221</v>
      </c>
      <c r="K19" s="103">
        <v>275559</v>
      </c>
      <c r="L19" s="103">
        <v>156591</v>
      </c>
      <c r="M19" s="103">
        <v>51934</v>
      </c>
      <c r="N19" s="103">
        <v>25137</v>
      </c>
      <c r="P19" s="83"/>
      <c r="Q19" s="83"/>
    </row>
    <row r="20" spans="2:17" ht="15" thickBot="1" x14ac:dyDescent="0.4">
      <c r="B20" s="99"/>
      <c r="C20" s="96">
        <v>45658</v>
      </c>
      <c r="D20" s="105">
        <v>527064</v>
      </c>
      <c r="E20" s="105">
        <v>26054</v>
      </c>
      <c r="F20" s="105">
        <v>17838</v>
      </c>
      <c r="G20" s="105">
        <v>316</v>
      </c>
      <c r="H20" s="105">
        <v>1537</v>
      </c>
      <c r="I20" s="105">
        <v>6363</v>
      </c>
      <c r="J20" s="105">
        <v>501010</v>
      </c>
      <c r="K20" s="105">
        <v>274364</v>
      </c>
      <c r="L20" s="105">
        <v>152319</v>
      </c>
      <c r="M20" s="105">
        <v>49627</v>
      </c>
      <c r="N20" s="105">
        <v>24700</v>
      </c>
      <c r="P20" s="83"/>
      <c r="Q20" s="83"/>
    </row>
    <row r="21" spans="2:17" ht="15" thickBot="1" x14ac:dyDescent="0.4">
      <c r="B21" s="99"/>
      <c r="C21" s="102">
        <v>45748</v>
      </c>
      <c r="D21" s="103">
        <v>519062</v>
      </c>
      <c r="E21" s="103">
        <v>28499</v>
      </c>
      <c r="F21" s="103">
        <v>19770</v>
      </c>
      <c r="G21" s="103">
        <v>305</v>
      </c>
      <c r="H21" s="103">
        <v>2021</v>
      </c>
      <c r="I21" s="103">
        <v>6403</v>
      </c>
      <c r="J21" s="103">
        <v>490563</v>
      </c>
      <c r="K21" s="103">
        <v>272354</v>
      </c>
      <c r="L21" s="103">
        <v>141806</v>
      </c>
      <c r="M21" s="103">
        <v>52073</v>
      </c>
      <c r="N21" s="103">
        <v>24330</v>
      </c>
      <c r="P21" s="83"/>
      <c r="Q21" s="83"/>
    </row>
    <row r="22" spans="2:17" ht="15" thickBot="1" x14ac:dyDescent="0.4">
      <c r="B22" s="99"/>
      <c r="C22" s="96">
        <v>45839</v>
      </c>
      <c r="D22" s="105">
        <v>504363</v>
      </c>
      <c r="E22" s="105">
        <v>30961</v>
      </c>
      <c r="F22" s="105">
        <v>22101</v>
      </c>
      <c r="G22" s="105">
        <v>352</v>
      </c>
      <c r="H22" s="105">
        <v>2334</v>
      </c>
      <c r="I22" s="105">
        <v>6174</v>
      </c>
      <c r="J22" s="105">
        <v>473402</v>
      </c>
      <c r="K22" s="105">
        <v>267304</v>
      </c>
      <c r="L22" s="105">
        <v>134408</v>
      </c>
      <c r="M22" s="105">
        <v>48327</v>
      </c>
      <c r="N22" s="105">
        <v>23363</v>
      </c>
      <c r="P22" s="83"/>
      <c r="Q22" s="83"/>
    </row>
    <row r="23" spans="2:17" ht="15" thickBot="1" x14ac:dyDescent="0.4">
      <c r="B23" s="99"/>
      <c r="C23" s="102">
        <v>45931</v>
      </c>
      <c r="D23" s="103">
        <v>478121</v>
      </c>
      <c r="E23" s="103">
        <v>32495</v>
      </c>
      <c r="F23" s="103">
        <v>23532</v>
      </c>
      <c r="G23" s="103">
        <v>307</v>
      </c>
      <c r="H23" s="103">
        <v>2150</v>
      </c>
      <c r="I23" s="103">
        <v>6506</v>
      </c>
      <c r="J23" s="103">
        <v>445626</v>
      </c>
      <c r="K23" s="103">
        <v>262876</v>
      </c>
      <c r="L23" s="103">
        <v>120117</v>
      </c>
      <c r="M23" s="103">
        <v>40309</v>
      </c>
      <c r="N23" s="103">
        <v>22324</v>
      </c>
      <c r="P23" s="83"/>
      <c r="Q23" s="83"/>
    </row>
    <row r="24" spans="2:17" x14ac:dyDescent="0.35">
      <c r="B24" s="99"/>
      <c r="C24" s="96">
        <v>46023</v>
      </c>
      <c r="D24" s="111">
        <v>446149</v>
      </c>
      <c r="E24" s="111">
        <v>34951</v>
      </c>
      <c r="F24" s="111">
        <v>25657</v>
      </c>
      <c r="G24" s="111">
        <v>343</v>
      </c>
      <c r="H24" s="111">
        <v>2217</v>
      </c>
      <c r="I24" s="111">
        <v>6734</v>
      </c>
      <c r="J24" s="111">
        <v>411198</v>
      </c>
      <c r="K24" s="111">
        <v>244394</v>
      </c>
      <c r="L24" s="111">
        <v>109502</v>
      </c>
      <c r="M24" s="111">
        <v>36483</v>
      </c>
      <c r="N24" s="111">
        <v>20819</v>
      </c>
      <c r="P24" s="83"/>
      <c r="Q24" s="83"/>
    </row>
    <row r="25" spans="2:17" x14ac:dyDescent="0.35">
      <c r="B25" s="99"/>
      <c r="C25" s="104"/>
      <c r="D25" s="105"/>
      <c r="E25" s="105"/>
      <c r="F25" s="105"/>
      <c r="G25" s="105"/>
      <c r="H25" s="105"/>
      <c r="I25" s="105"/>
      <c r="J25" s="105"/>
      <c r="K25" s="105"/>
      <c r="L25" s="105"/>
      <c r="M25" s="105"/>
      <c r="N25" s="105"/>
      <c r="P25" s="83"/>
      <c r="Q25" s="83"/>
    </row>
    <row r="26" spans="2:17" ht="14.5" customHeight="1" x14ac:dyDescent="0.35">
      <c r="B26" s="99"/>
      <c r="D26" s="83"/>
      <c r="I26" s="85"/>
      <c r="J26" s="85"/>
      <c r="K26" s="85"/>
      <c r="L26" s="85"/>
      <c r="M26" s="85"/>
      <c r="N26" s="85"/>
    </row>
    <row r="27" spans="2:17" ht="14.5" customHeight="1" x14ac:dyDescent="0.35">
      <c r="B27" s="99"/>
      <c r="D27" s="4" t="s">
        <v>18</v>
      </c>
      <c r="E27" s="3" t="s">
        <v>17</v>
      </c>
      <c r="H27" s="4" t="s">
        <v>12</v>
      </c>
      <c r="I27" s="118" t="s">
        <v>48</v>
      </c>
      <c r="J27" s="118"/>
      <c r="K27" s="118"/>
      <c r="L27" s="118"/>
      <c r="M27" s="118"/>
      <c r="N27" s="118"/>
    </row>
    <row r="28" spans="2:17" x14ac:dyDescent="0.35">
      <c r="B28" s="99"/>
      <c r="D28" s="4" t="s">
        <v>14</v>
      </c>
      <c r="E28" s="117">
        <v>46086</v>
      </c>
      <c r="F28" s="117"/>
      <c r="I28" s="118"/>
      <c r="J28" s="118"/>
      <c r="K28" s="118"/>
      <c r="L28" s="118"/>
      <c r="M28" s="118"/>
      <c r="N28" s="118"/>
    </row>
    <row r="29" spans="2:17" ht="14.5" customHeight="1" x14ac:dyDescent="0.35">
      <c r="B29" s="99"/>
      <c r="E29" s="84"/>
      <c r="F29" s="84"/>
      <c r="G29" s="84"/>
      <c r="H29" s="84"/>
      <c r="I29" s="84"/>
      <c r="J29" s="84"/>
      <c r="K29" s="84"/>
      <c r="L29" s="84"/>
      <c r="M29" s="84"/>
      <c r="N29" s="84"/>
    </row>
    <row r="30" spans="2:17" ht="14.5" customHeight="1" x14ac:dyDescent="0.35">
      <c r="B30" s="99"/>
      <c r="D30" s="4" t="s">
        <v>16</v>
      </c>
      <c r="E30" s="119" t="s">
        <v>51</v>
      </c>
      <c r="F30" s="119"/>
      <c r="G30" s="119"/>
      <c r="H30" s="119"/>
      <c r="I30" s="119"/>
      <c r="J30" s="119"/>
      <c r="K30" s="119"/>
      <c r="L30" s="119"/>
      <c r="M30" s="119"/>
      <c r="N30" s="119"/>
    </row>
    <row r="31" spans="2:17" x14ac:dyDescent="0.35">
      <c r="B31" s="99"/>
      <c r="E31" s="119"/>
      <c r="F31" s="119"/>
      <c r="G31" s="119"/>
      <c r="H31" s="119"/>
      <c r="I31" s="119"/>
      <c r="J31" s="119"/>
      <c r="K31" s="119"/>
      <c r="L31" s="119"/>
      <c r="M31" s="119"/>
      <c r="N31" s="119"/>
    </row>
    <row r="32" spans="2:17" x14ac:dyDescent="0.35">
      <c r="B32" s="99"/>
      <c r="E32" s="119"/>
      <c r="F32" s="119"/>
      <c r="G32" s="119"/>
      <c r="H32" s="119"/>
      <c r="I32" s="119"/>
      <c r="J32" s="119"/>
      <c r="K32" s="119"/>
      <c r="L32" s="119"/>
      <c r="M32" s="119"/>
      <c r="N32" s="119"/>
    </row>
    <row r="33" spans="2:5" x14ac:dyDescent="0.35">
      <c r="B33" s="99"/>
      <c r="E33" t="s">
        <v>49</v>
      </c>
    </row>
    <row r="34" spans="2:5" x14ac:dyDescent="0.35">
      <c r="B34" s="99"/>
    </row>
    <row r="35" spans="2:5" x14ac:dyDescent="0.35">
      <c r="B35" s="99"/>
    </row>
    <row r="36" spans="2:5" x14ac:dyDescent="0.35">
      <c r="B36" s="99"/>
      <c r="C36" s="89"/>
    </row>
    <row r="37" spans="2:5" x14ac:dyDescent="0.35">
      <c r="B37" s="99"/>
      <c r="C37" s="89"/>
    </row>
    <row r="38" spans="2:5" x14ac:dyDescent="0.35">
      <c r="B38" s="99"/>
      <c r="C38" s="89"/>
    </row>
    <row r="39" spans="2:5" x14ac:dyDescent="0.35">
      <c r="B39" s="99"/>
    </row>
    <row r="40" spans="2:5" x14ac:dyDescent="0.35">
      <c r="B40" s="99"/>
    </row>
    <row r="41" spans="2:5" x14ac:dyDescent="0.35">
      <c r="B41" s="99"/>
      <c r="C41" s="89"/>
    </row>
    <row r="42" spans="2:5" x14ac:dyDescent="0.35">
      <c r="B42" s="99"/>
      <c r="C42" s="89"/>
    </row>
    <row r="43" spans="2:5" x14ac:dyDescent="0.35">
      <c r="B43" s="99"/>
      <c r="C43" s="89"/>
    </row>
    <row r="44" spans="2:5" x14ac:dyDescent="0.35">
      <c r="B44" s="99"/>
      <c r="C44" s="89"/>
    </row>
    <row r="45" spans="2:5" x14ac:dyDescent="0.35">
      <c r="B45" s="99"/>
      <c r="C45" s="89"/>
    </row>
    <row r="46" spans="2:5" x14ac:dyDescent="0.35">
      <c r="B46" s="99"/>
      <c r="C46" s="89"/>
    </row>
    <row r="47" spans="2:5" x14ac:dyDescent="0.35">
      <c r="B47" s="99"/>
    </row>
    <row r="48" spans="2:5" x14ac:dyDescent="0.35">
      <c r="B48" s="99"/>
    </row>
    <row r="49" spans="2:2" x14ac:dyDescent="0.35">
      <c r="B49" s="99"/>
    </row>
    <row r="50" spans="2:2" x14ac:dyDescent="0.35">
      <c r="B50" s="99"/>
    </row>
    <row r="51" spans="2:2" x14ac:dyDescent="0.35">
      <c r="B51" s="99"/>
    </row>
    <row r="52" spans="2:2" x14ac:dyDescent="0.35">
      <c r="B52" s="99"/>
    </row>
    <row r="53" spans="2:2" x14ac:dyDescent="0.35">
      <c r="B53" s="99"/>
    </row>
    <row r="54" spans="2:2" x14ac:dyDescent="0.35">
      <c r="B54" s="99"/>
    </row>
    <row r="55" spans="2:2" x14ac:dyDescent="0.35">
      <c r="B55" s="99"/>
    </row>
    <row r="56" spans="2:2" x14ac:dyDescent="0.35">
      <c r="B56" s="99"/>
    </row>
    <row r="57" spans="2:2" x14ac:dyDescent="0.35">
      <c r="B57" s="99"/>
    </row>
    <row r="58" spans="2:2" x14ac:dyDescent="0.35">
      <c r="B58" s="99"/>
    </row>
    <row r="59" spans="2:2" x14ac:dyDescent="0.35">
      <c r="B59" s="99"/>
    </row>
    <row r="60" spans="2:2" x14ac:dyDescent="0.35">
      <c r="B60" s="99"/>
    </row>
    <row r="61" spans="2:2" x14ac:dyDescent="0.35">
      <c r="B61" s="99"/>
    </row>
    <row r="62" spans="2:2" x14ac:dyDescent="0.35">
      <c r="B62" s="99"/>
    </row>
    <row r="63" spans="2:2" x14ac:dyDescent="0.35">
      <c r="B63" s="99"/>
    </row>
    <row r="64" spans="2:2" x14ac:dyDescent="0.35">
      <c r="B64" s="99"/>
    </row>
    <row r="65" spans="2:2" x14ac:dyDescent="0.35">
      <c r="B65" s="99"/>
    </row>
    <row r="66" spans="2:2" x14ac:dyDescent="0.35">
      <c r="B66" s="99"/>
    </row>
    <row r="67" spans="2:2" x14ac:dyDescent="0.35">
      <c r="B67" s="99"/>
    </row>
    <row r="68" spans="2:2" x14ac:dyDescent="0.35">
      <c r="B68" s="99"/>
    </row>
    <row r="69" spans="2:2" x14ac:dyDescent="0.35">
      <c r="B69" s="99"/>
    </row>
    <row r="70" spans="2:2" x14ac:dyDescent="0.35">
      <c r="B70" s="99"/>
    </row>
    <row r="71" spans="2:2" x14ac:dyDescent="0.35">
      <c r="B71" s="99"/>
    </row>
    <row r="72" spans="2:2" x14ac:dyDescent="0.35">
      <c r="B72" s="99"/>
    </row>
    <row r="73" spans="2:2" x14ac:dyDescent="0.35">
      <c r="B73" s="99"/>
    </row>
    <row r="74" spans="2:2" x14ac:dyDescent="0.35">
      <c r="B74" s="99"/>
    </row>
    <row r="75" spans="2:2" x14ac:dyDescent="0.35">
      <c r="B75" s="99"/>
    </row>
    <row r="76" spans="2:2" x14ac:dyDescent="0.35">
      <c r="B76" s="99"/>
    </row>
    <row r="77" spans="2:2" x14ac:dyDescent="0.35">
      <c r="B77" s="99"/>
    </row>
    <row r="78" spans="2:2" x14ac:dyDescent="0.35">
      <c r="B78" s="99"/>
    </row>
    <row r="79" spans="2:2" x14ac:dyDescent="0.35">
      <c r="B79" s="99"/>
    </row>
    <row r="80" spans="2:2" x14ac:dyDescent="0.35">
      <c r="B80" s="99"/>
    </row>
    <row r="81" spans="2:2" x14ac:dyDescent="0.35">
      <c r="B81" s="99"/>
    </row>
    <row r="82" spans="2:2" x14ac:dyDescent="0.35">
      <c r="B82" s="99"/>
    </row>
    <row r="83" spans="2:2" x14ac:dyDescent="0.35">
      <c r="B83" s="99"/>
    </row>
    <row r="84" spans="2:2" x14ac:dyDescent="0.35">
      <c r="B84" s="99"/>
    </row>
    <row r="85" spans="2:2" x14ac:dyDescent="0.35">
      <c r="B85" s="99"/>
    </row>
    <row r="86" spans="2:2" x14ac:dyDescent="0.35">
      <c r="B86" s="99"/>
    </row>
    <row r="87" spans="2:2" x14ac:dyDescent="0.35">
      <c r="B87" s="99"/>
    </row>
    <row r="88" spans="2:2" x14ac:dyDescent="0.35">
      <c r="B88" s="99"/>
    </row>
    <row r="89" spans="2:2" x14ac:dyDescent="0.35">
      <c r="B89" s="99"/>
    </row>
    <row r="90" spans="2:2" x14ac:dyDescent="0.35">
      <c r="B90" s="99"/>
    </row>
    <row r="91" spans="2:2" x14ac:dyDescent="0.35">
      <c r="B91" s="99"/>
    </row>
    <row r="92" spans="2:2" x14ac:dyDescent="0.35">
      <c r="B92" s="99"/>
    </row>
    <row r="93" spans="2:2" x14ac:dyDescent="0.35">
      <c r="B93" s="99"/>
    </row>
    <row r="94" spans="2:2" x14ac:dyDescent="0.35">
      <c r="B94" s="99"/>
    </row>
    <row r="95" spans="2:2" x14ac:dyDescent="0.35">
      <c r="B95" s="99"/>
    </row>
    <row r="96" spans="2:2" x14ac:dyDescent="0.35">
      <c r="B96" s="99"/>
    </row>
    <row r="97" spans="2:2" x14ac:dyDescent="0.35">
      <c r="B97" s="99"/>
    </row>
    <row r="98" spans="2:2" x14ac:dyDescent="0.35">
      <c r="B98" s="99"/>
    </row>
    <row r="99" spans="2:2" x14ac:dyDescent="0.35">
      <c r="B99" s="99"/>
    </row>
    <row r="100" spans="2:2" x14ac:dyDescent="0.35">
      <c r="B100" s="99"/>
    </row>
    <row r="101" spans="2:2" x14ac:dyDescent="0.35">
      <c r="B101" s="99"/>
    </row>
    <row r="102" spans="2:2" x14ac:dyDescent="0.35">
      <c r="B102" s="99"/>
    </row>
    <row r="103" spans="2:2" x14ac:dyDescent="0.35">
      <c r="B103" s="99"/>
    </row>
    <row r="104" spans="2:2" x14ac:dyDescent="0.35">
      <c r="B104" s="99"/>
    </row>
    <row r="105" spans="2:2" x14ac:dyDescent="0.35">
      <c r="B105" s="99"/>
    </row>
    <row r="106" spans="2:2" x14ac:dyDescent="0.35">
      <c r="B106" s="99"/>
    </row>
    <row r="107" spans="2:2" x14ac:dyDescent="0.35">
      <c r="B107" s="99"/>
    </row>
    <row r="108" spans="2:2" x14ac:dyDescent="0.35">
      <c r="B108" s="99"/>
    </row>
    <row r="109" spans="2:2" x14ac:dyDescent="0.35">
      <c r="B109" s="99"/>
    </row>
    <row r="110" spans="2:2" x14ac:dyDescent="0.35">
      <c r="B110" s="99"/>
    </row>
    <row r="111" spans="2:2" x14ac:dyDescent="0.35">
      <c r="B111" s="99"/>
    </row>
    <row r="112" spans="2:2" x14ac:dyDescent="0.35">
      <c r="B112" s="99"/>
    </row>
    <row r="113" spans="2:2" x14ac:dyDescent="0.35">
      <c r="B113" s="99"/>
    </row>
    <row r="114" spans="2:2" x14ac:dyDescent="0.35">
      <c r="B114" s="99"/>
    </row>
    <row r="115" spans="2:2" x14ac:dyDescent="0.35">
      <c r="B115" s="99"/>
    </row>
    <row r="116" spans="2:2" x14ac:dyDescent="0.35">
      <c r="B116" s="99"/>
    </row>
    <row r="117" spans="2:2" x14ac:dyDescent="0.35">
      <c r="B117" s="99"/>
    </row>
    <row r="118" spans="2:2" x14ac:dyDescent="0.35">
      <c r="B118" s="99"/>
    </row>
    <row r="119" spans="2:2" x14ac:dyDescent="0.35">
      <c r="B119" s="99"/>
    </row>
    <row r="120" spans="2:2" x14ac:dyDescent="0.35">
      <c r="B120" s="99"/>
    </row>
    <row r="121" spans="2:2" x14ac:dyDescent="0.35">
      <c r="B121" s="99"/>
    </row>
    <row r="122" spans="2:2" x14ac:dyDescent="0.35">
      <c r="B122" s="99"/>
    </row>
    <row r="123" spans="2:2" x14ac:dyDescent="0.35">
      <c r="B123" s="99"/>
    </row>
    <row r="124" spans="2:2" x14ac:dyDescent="0.35">
      <c r="B124" s="99"/>
    </row>
    <row r="125" spans="2:2" x14ac:dyDescent="0.35">
      <c r="B125" s="99"/>
    </row>
    <row r="126" spans="2:2" x14ac:dyDescent="0.35">
      <c r="B126" s="99"/>
    </row>
    <row r="127" spans="2:2" x14ac:dyDescent="0.35">
      <c r="B127" s="99"/>
    </row>
    <row r="128" spans="2:2" x14ac:dyDescent="0.35">
      <c r="B128" s="99"/>
    </row>
    <row r="129" spans="2:2" x14ac:dyDescent="0.35">
      <c r="B129" s="99"/>
    </row>
    <row r="130" spans="2:2" x14ac:dyDescent="0.35">
      <c r="B130" s="99"/>
    </row>
    <row r="131" spans="2:2" x14ac:dyDescent="0.35">
      <c r="B131" s="99"/>
    </row>
    <row r="132" spans="2:2" x14ac:dyDescent="0.35">
      <c r="B132" s="99"/>
    </row>
    <row r="133" spans="2:2" x14ac:dyDescent="0.35">
      <c r="B133" s="99"/>
    </row>
  </sheetData>
  <mergeCells count="3">
    <mergeCell ref="I27:N28"/>
    <mergeCell ref="E28:F28"/>
    <mergeCell ref="E30:N32"/>
  </mergeCells>
  <pageMargins left="0.7" right="0.7" top="0.75" bottom="0.75" header="0.3" footer="0.3"/>
  <pageSetup scale="69"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C5E87-BBDA-4E9F-929B-401ED4D602D8}">
  <sheetPr>
    <tabColor theme="4"/>
  </sheetPr>
  <dimension ref="A6:R37"/>
  <sheetViews>
    <sheetView showGridLines="0" zoomScaleNormal="100" zoomScaleSheetLayoutView="100" workbookViewId="0">
      <selection activeCell="A6" sqref="A6:O6"/>
    </sheetView>
  </sheetViews>
  <sheetFormatPr defaultRowHeight="14.5" x14ac:dyDescent="0.35"/>
  <cols>
    <col min="1" max="3" width="8.54296875" customWidth="1"/>
    <col min="4" max="4" width="7.453125" bestFit="1" customWidth="1"/>
    <col min="5" max="5" width="8" bestFit="1" customWidth="1"/>
    <col min="6" max="6" width="7.453125" bestFit="1" customWidth="1"/>
    <col min="7" max="7" width="7.7265625" bestFit="1" customWidth="1"/>
    <col min="8" max="8" width="9.453125" customWidth="1"/>
    <col min="9" max="9" width="8.54296875" customWidth="1"/>
    <col min="10" max="10" width="8.81640625" bestFit="1" customWidth="1"/>
    <col min="11" max="11" width="8.1796875" bestFit="1" customWidth="1"/>
    <col min="12" max="12" width="8.1796875" customWidth="1"/>
    <col min="13" max="14" width="6.1796875" bestFit="1" customWidth="1"/>
    <col min="15" max="15" width="7.1796875" bestFit="1" customWidth="1"/>
  </cols>
  <sheetData>
    <row r="6" spans="1:17" ht="26" x14ac:dyDescent="0.6">
      <c r="A6" s="112" t="s">
        <v>53</v>
      </c>
      <c r="B6" s="112"/>
      <c r="C6" s="112"/>
      <c r="D6" s="112"/>
      <c r="E6" s="112"/>
      <c r="F6" s="112"/>
      <c r="G6" s="112"/>
      <c r="H6" s="112"/>
      <c r="I6" s="112"/>
      <c r="J6" s="112"/>
      <c r="K6" s="112"/>
      <c r="L6" s="112"/>
      <c r="M6" s="112"/>
      <c r="N6" s="112"/>
      <c r="O6" s="112"/>
    </row>
    <row r="8" spans="1:17" s="40" customFormat="1" ht="33.75" customHeight="1" thickBot="1" x14ac:dyDescent="0.4">
      <c r="C8" s="113" t="s">
        <v>44</v>
      </c>
      <c r="D8" s="113"/>
      <c r="E8" s="113"/>
      <c r="F8" s="113"/>
      <c r="G8" s="113"/>
      <c r="H8" s="113"/>
      <c r="I8" s="113"/>
      <c r="J8" s="113"/>
      <c r="K8" s="113"/>
      <c r="L8" s="113"/>
      <c r="M8" s="113"/>
      <c r="N8" s="113"/>
      <c r="O8" s="113"/>
    </row>
    <row r="9" spans="1:17" ht="15" customHeight="1" thickBot="1" x14ac:dyDescent="0.4">
      <c r="B9" s="39"/>
      <c r="C9" s="38" t="s">
        <v>42</v>
      </c>
      <c r="D9" s="38" t="s">
        <v>41</v>
      </c>
      <c r="E9" s="38" t="s">
        <v>25</v>
      </c>
      <c r="F9" s="38" t="s">
        <v>26</v>
      </c>
      <c r="G9" s="38" t="s">
        <v>40</v>
      </c>
      <c r="H9" s="38" t="s">
        <v>39</v>
      </c>
      <c r="I9" s="38" t="s">
        <v>38</v>
      </c>
      <c r="J9" s="38" t="s">
        <v>37</v>
      </c>
      <c r="K9" s="38" t="s">
        <v>36</v>
      </c>
      <c r="L9" s="36" t="s">
        <v>27</v>
      </c>
      <c r="M9" s="38" t="s">
        <v>35</v>
      </c>
      <c r="N9" s="38" t="s">
        <v>34</v>
      </c>
      <c r="O9" s="37" t="s">
        <v>33</v>
      </c>
    </row>
    <row r="10" spans="1:17" ht="15" customHeight="1" x14ac:dyDescent="0.35">
      <c r="A10" s="114" t="s">
        <v>43</v>
      </c>
      <c r="B10" s="32" t="s">
        <v>42</v>
      </c>
      <c r="C10" s="13">
        <v>0</v>
      </c>
      <c r="D10" s="13">
        <v>0</v>
      </c>
      <c r="E10" s="13">
        <v>139</v>
      </c>
      <c r="F10" s="13">
        <v>53</v>
      </c>
      <c r="G10" s="13">
        <v>33</v>
      </c>
      <c r="H10" s="13">
        <v>363</v>
      </c>
      <c r="I10" s="13">
        <v>36</v>
      </c>
      <c r="J10" s="13">
        <v>11</v>
      </c>
      <c r="K10" s="13">
        <v>230</v>
      </c>
      <c r="L10" s="16">
        <v>126</v>
      </c>
      <c r="M10" s="13">
        <v>0</v>
      </c>
      <c r="N10" s="13">
        <v>10</v>
      </c>
      <c r="O10" s="33">
        <v>0</v>
      </c>
      <c r="Q10" s="83"/>
    </row>
    <row r="11" spans="1:17" ht="15" customHeight="1" x14ac:dyDescent="0.35">
      <c r="A11" s="114"/>
      <c r="B11" s="32" t="s">
        <v>41</v>
      </c>
      <c r="C11" s="30">
        <v>28</v>
      </c>
      <c r="D11" s="30">
        <v>0</v>
      </c>
      <c r="E11" s="30">
        <v>148</v>
      </c>
      <c r="F11" s="30">
        <v>36</v>
      </c>
      <c r="G11" s="30">
        <v>33</v>
      </c>
      <c r="H11" s="30">
        <v>191</v>
      </c>
      <c r="I11" s="30">
        <v>0</v>
      </c>
      <c r="J11" s="30">
        <v>0</v>
      </c>
      <c r="K11" s="30">
        <v>111</v>
      </c>
      <c r="L11" s="31">
        <v>98</v>
      </c>
      <c r="M11" s="30">
        <v>0</v>
      </c>
      <c r="N11" s="30">
        <v>0</v>
      </c>
      <c r="O11" s="29">
        <v>0</v>
      </c>
      <c r="Q11" s="83"/>
    </row>
    <row r="12" spans="1:17" ht="15" customHeight="1" x14ac:dyDescent="0.35">
      <c r="A12" s="114"/>
      <c r="B12" s="32" t="s">
        <v>25</v>
      </c>
      <c r="C12" s="13">
        <v>67</v>
      </c>
      <c r="D12" s="13">
        <v>101</v>
      </c>
      <c r="E12" s="13">
        <v>0</v>
      </c>
      <c r="F12" s="13">
        <v>243</v>
      </c>
      <c r="G12" s="13">
        <v>103</v>
      </c>
      <c r="H12" s="13">
        <v>896</v>
      </c>
      <c r="I12" s="13">
        <v>35</v>
      </c>
      <c r="J12" s="13">
        <v>17</v>
      </c>
      <c r="K12" s="13">
        <v>355</v>
      </c>
      <c r="L12" s="16">
        <v>222</v>
      </c>
      <c r="M12" s="13">
        <v>0</v>
      </c>
      <c r="N12" s="13">
        <v>0</v>
      </c>
      <c r="O12" s="33">
        <v>0</v>
      </c>
      <c r="Q12" s="83"/>
    </row>
    <row r="13" spans="1:17" ht="15" customHeight="1" x14ac:dyDescent="0.35">
      <c r="A13" s="114"/>
      <c r="B13" s="32" t="s">
        <v>26</v>
      </c>
      <c r="C13" s="30">
        <v>114</v>
      </c>
      <c r="D13" s="30">
        <v>18</v>
      </c>
      <c r="E13" s="30">
        <v>396</v>
      </c>
      <c r="F13" s="30">
        <v>0</v>
      </c>
      <c r="G13" s="30">
        <v>426</v>
      </c>
      <c r="H13" s="30">
        <v>688</v>
      </c>
      <c r="I13" s="30">
        <v>28</v>
      </c>
      <c r="J13" s="30">
        <v>7</v>
      </c>
      <c r="K13" s="30">
        <v>361</v>
      </c>
      <c r="L13" s="31">
        <v>120</v>
      </c>
      <c r="M13" s="30">
        <v>0</v>
      </c>
      <c r="N13" s="30">
        <v>0</v>
      </c>
      <c r="O13" s="29">
        <v>0</v>
      </c>
      <c r="Q13" s="83"/>
    </row>
    <row r="14" spans="1:17" ht="15" customHeight="1" x14ac:dyDescent="0.35">
      <c r="A14" s="114"/>
      <c r="B14" s="32" t="s">
        <v>40</v>
      </c>
      <c r="C14" s="13">
        <v>6</v>
      </c>
      <c r="D14" s="13">
        <v>101</v>
      </c>
      <c r="E14" s="13">
        <v>155</v>
      </c>
      <c r="F14" s="13">
        <v>296</v>
      </c>
      <c r="G14" s="13">
        <v>0</v>
      </c>
      <c r="H14" s="13">
        <v>3558</v>
      </c>
      <c r="I14" s="13">
        <v>118</v>
      </c>
      <c r="J14" s="13">
        <v>85</v>
      </c>
      <c r="K14" s="13">
        <v>905</v>
      </c>
      <c r="L14" s="16">
        <v>539</v>
      </c>
      <c r="M14" s="13">
        <v>25</v>
      </c>
      <c r="N14" s="13">
        <v>0</v>
      </c>
      <c r="O14" s="33">
        <v>13</v>
      </c>
      <c r="Q14" s="83"/>
    </row>
    <row r="15" spans="1:17" ht="15" customHeight="1" x14ac:dyDescent="0.35">
      <c r="A15" s="114"/>
      <c r="B15" s="32" t="s">
        <v>39</v>
      </c>
      <c r="C15" s="30">
        <v>366</v>
      </c>
      <c r="D15" s="30">
        <v>173</v>
      </c>
      <c r="E15" s="30">
        <v>1182</v>
      </c>
      <c r="F15" s="30">
        <v>787</v>
      </c>
      <c r="G15" s="30">
        <v>2480</v>
      </c>
      <c r="H15" s="30">
        <v>0</v>
      </c>
      <c r="I15" s="30">
        <v>993</v>
      </c>
      <c r="J15" s="30">
        <v>801</v>
      </c>
      <c r="K15" s="30">
        <v>3926</v>
      </c>
      <c r="L15" s="31">
        <v>2775</v>
      </c>
      <c r="M15" s="30">
        <v>48</v>
      </c>
      <c r="N15" s="30">
        <v>29</v>
      </c>
      <c r="O15" s="29">
        <v>5</v>
      </c>
      <c r="Q15" s="83"/>
    </row>
    <row r="16" spans="1:17" ht="15" customHeight="1" x14ac:dyDescent="0.35">
      <c r="A16" s="114"/>
      <c r="B16" s="32" t="s">
        <v>38</v>
      </c>
      <c r="C16" s="13">
        <v>41</v>
      </c>
      <c r="D16" s="13">
        <v>0</v>
      </c>
      <c r="E16" s="13">
        <v>57</v>
      </c>
      <c r="F16" s="13">
        <v>79</v>
      </c>
      <c r="G16" s="13">
        <v>150</v>
      </c>
      <c r="H16" s="13">
        <v>782</v>
      </c>
      <c r="I16" s="13">
        <v>0</v>
      </c>
      <c r="J16" s="13">
        <v>256</v>
      </c>
      <c r="K16" s="13">
        <v>948</v>
      </c>
      <c r="L16" s="16">
        <v>631</v>
      </c>
      <c r="M16" s="13">
        <v>38</v>
      </c>
      <c r="N16" s="13">
        <v>0</v>
      </c>
      <c r="O16" s="33">
        <v>24</v>
      </c>
      <c r="Q16" s="83"/>
    </row>
    <row r="17" spans="1:18" ht="15" customHeight="1" x14ac:dyDescent="0.35">
      <c r="A17" s="114"/>
      <c r="B17" s="32" t="s">
        <v>37</v>
      </c>
      <c r="C17" s="30">
        <v>19</v>
      </c>
      <c r="D17" s="30">
        <v>0</v>
      </c>
      <c r="E17" s="30">
        <v>60</v>
      </c>
      <c r="F17" s="30">
        <v>52</v>
      </c>
      <c r="G17" s="30">
        <v>102</v>
      </c>
      <c r="H17" s="30">
        <v>773</v>
      </c>
      <c r="I17" s="30">
        <v>271</v>
      </c>
      <c r="J17" s="30">
        <v>0</v>
      </c>
      <c r="K17" s="30">
        <v>1546</v>
      </c>
      <c r="L17" s="31">
        <v>663</v>
      </c>
      <c r="M17" s="30">
        <v>10</v>
      </c>
      <c r="N17" s="30">
        <v>0</v>
      </c>
      <c r="O17" s="29">
        <v>0</v>
      </c>
      <c r="Q17" s="83"/>
      <c r="R17" s="83"/>
    </row>
    <row r="18" spans="1:18" ht="15" customHeight="1" thickBot="1" x14ac:dyDescent="0.4">
      <c r="A18" s="114"/>
      <c r="B18" s="32" t="s">
        <v>36</v>
      </c>
      <c r="C18" s="13">
        <v>201</v>
      </c>
      <c r="D18" s="13">
        <v>57</v>
      </c>
      <c r="E18" s="13">
        <v>404</v>
      </c>
      <c r="F18" s="13">
        <v>135</v>
      </c>
      <c r="G18" s="13">
        <v>386</v>
      </c>
      <c r="H18" s="13">
        <v>2450</v>
      </c>
      <c r="I18" s="13">
        <v>253</v>
      </c>
      <c r="J18" s="13">
        <v>968</v>
      </c>
      <c r="K18" s="13">
        <v>0</v>
      </c>
      <c r="L18" s="16">
        <v>3655</v>
      </c>
      <c r="M18" s="13">
        <v>37</v>
      </c>
      <c r="N18" s="13">
        <v>132</v>
      </c>
      <c r="O18" s="33">
        <v>0</v>
      </c>
    </row>
    <row r="19" spans="1:18" ht="15" customHeight="1" thickBot="1" x14ac:dyDescent="0.4">
      <c r="A19" s="114"/>
      <c r="B19" s="36" t="s">
        <v>27</v>
      </c>
      <c r="C19" s="35">
        <v>66</v>
      </c>
      <c r="D19" s="35">
        <v>124</v>
      </c>
      <c r="E19" s="35">
        <v>308</v>
      </c>
      <c r="F19" s="35">
        <v>94</v>
      </c>
      <c r="G19" s="35">
        <v>452</v>
      </c>
      <c r="H19" s="35">
        <v>2139</v>
      </c>
      <c r="I19" s="35">
        <v>309</v>
      </c>
      <c r="J19" s="35">
        <v>466</v>
      </c>
      <c r="K19" s="35">
        <v>3761</v>
      </c>
      <c r="L19" s="30">
        <v>0</v>
      </c>
      <c r="M19" s="35">
        <v>50</v>
      </c>
      <c r="N19" s="35">
        <v>42</v>
      </c>
      <c r="O19" s="34">
        <v>9</v>
      </c>
    </row>
    <row r="20" spans="1:18" ht="15" customHeight="1" x14ac:dyDescent="0.35">
      <c r="A20" s="114"/>
      <c r="B20" s="32" t="s">
        <v>35</v>
      </c>
      <c r="C20" s="13">
        <v>32</v>
      </c>
      <c r="D20" s="13">
        <v>0</v>
      </c>
      <c r="E20" s="13">
        <v>10</v>
      </c>
      <c r="F20" s="13">
        <v>21</v>
      </c>
      <c r="G20" s="13">
        <v>0</v>
      </c>
      <c r="H20" s="13">
        <v>0</v>
      </c>
      <c r="I20" s="13">
        <v>0</v>
      </c>
      <c r="J20" s="13">
        <v>0</v>
      </c>
      <c r="K20" s="13">
        <v>53</v>
      </c>
      <c r="L20" s="16">
        <v>127</v>
      </c>
      <c r="M20" s="13">
        <v>0</v>
      </c>
      <c r="N20" s="13">
        <v>0</v>
      </c>
      <c r="O20" s="33">
        <v>1</v>
      </c>
    </row>
    <row r="21" spans="1:18" ht="15" customHeight="1" x14ac:dyDescent="0.35">
      <c r="A21" s="114"/>
      <c r="B21" s="32" t="s">
        <v>34</v>
      </c>
      <c r="C21" s="30">
        <v>33</v>
      </c>
      <c r="D21" s="30">
        <v>0</v>
      </c>
      <c r="E21" s="30">
        <v>6</v>
      </c>
      <c r="F21" s="30">
        <v>0</v>
      </c>
      <c r="G21" s="30">
        <v>29</v>
      </c>
      <c r="H21" s="30">
        <v>61</v>
      </c>
      <c r="I21" s="30">
        <v>0</v>
      </c>
      <c r="J21" s="30">
        <v>18</v>
      </c>
      <c r="K21" s="30">
        <v>128</v>
      </c>
      <c r="L21" s="31">
        <v>91</v>
      </c>
      <c r="M21" s="30">
        <v>13</v>
      </c>
      <c r="N21" s="30">
        <v>0</v>
      </c>
      <c r="O21" s="29">
        <v>10</v>
      </c>
    </row>
    <row r="22" spans="1:18" ht="15" customHeight="1" thickBot="1" x14ac:dyDescent="0.4">
      <c r="A22" s="114"/>
      <c r="B22" s="28" t="s">
        <v>33</v>
      </c>
      <c r="C22" s="86">
        <v>0</v>
      </c>
      <c r="D22" s="27">
        <v>0</v>
      </c>
      <c r="E22" s="27">
        <v>0</v>
      </c>
      <c r="F22" s="27">
        <v>0</v>
      </c>
      <c r="G22" s="27">
        <v>28</v>
      </c>
      <c r="H22" s="27">
        <v>66</v>
      </c>
      <c r="I22" s="27">
        <v>51</v>
      </c>
      <c r="J22" s="27">
        <v>0</v>
      </c>
      <c r="K22" s="26">
        <v>38</v>
      </c>
      <c r="L22" s="21">
        <v>0</v>
      </c>
      <c r="M22" s="27">
        <v>0</v>
      </c>
      <c r="N22" s="27">
        <v>8</v>
      </c>
      <c r="O22" s="26">
        <v>0</v>
      </c>
    </row>
    <row r="23" spans="1:18" ht="15" customHeight="1" thickBot="1" x14ac:dyDescent="0.4">
      <c r="B23" s="12"/>
      <c r="C23" s="13"/>
      <c r="D23" s="13"/>
      <c r="E23" s="13"/>
      <c r="F23" s="13"/>
      <c r="G23" s="13"/>
      <c r="H23" s="13"/>
      <c r="I23" s="13"/>
      <c r="J23" s="13"/>
      <c r="K23" s="13"/>
      <c r="L23" s="16"/>
      <c r="M23" s="13"/>
      <c r="N23" s="13"/>
      <c r="O23" s="13"/>
    </row>
    <row r="24" spans="1:18" ht="15" customHeight="1" x14ac:dyDescent="0.35">
      <c r="B24" s="25" t="s">
        <v>32</v>
      </c>
      <c r="C24" s="24">
        <f>SUM(C10:C22)</f>
        <v>973</v>
      </c>
      <c r="D24" s="24">
        <f>SUM(D10:D22)</f>
        <v>574</v>
      </c>
      <c r="E24" s="24">
        <f>SUM(E10:E22)</f>
        <v>2865</v>
      </c>
      <c r="F24" s="24">
        <f t="shared" ref="F24:O24" si="0">SUM(F10:F22)</f>
        <v>1796</v>
      </c>
      <c r="G24" s="24">
        <f t="shared" si="0"/>
        <v>4222</v>
      </c>
      <c r="H24" s="24">
        <f t="shared" si="0"/>
        <v>11967</v>
      </c>
      <c r="I24" s="24">
        <f t="shared" si="0"/>
        <v>2094</v>
      </c>
      <c r="J24" s="24">
        <f t="shared" si="0"/>
        <v>2629</v>
      </c>
      <c r="K24" s="24">
        <f t="shared" si="0"/>
        <v>12362</v>
      </c>
      <c r="L24" s="24">
        <f t="shared" si="0"/>
        <v>9047</v>
      </c>
      <c r="M24" s="24">
        <f>SUM(M10:M22)</f>
        <v>221</v>
      </c>
      <c r="N24" s="24">
        <f t="shared" si="0"/>
        <v>221</v>
      </c>
      <c r="O24" s="24">
        <f t="shared" si="0"/>
        <v>62</v>
      </c>
    </row>
    <row r="25" spans="1:18" ht="15" customHeight="1" thickBot="1" x14ac:dyDescent="0.4">
      <c r="A25" s="23"/>
      <c r="B25" s="22" t="s">
        <v>31</v>
      </c>
      <c r="C25" s="20">
        <f>SUM(C10:O10)</f>
        <v>1001</v>
      </c>
      <c r="D25" s="20">
        <f>SUM(C11:O11)</f>
        <v>645</v>
      </c>
      <c r="E25" s="20">
        <f>SUM(C12:O12)</f>
        <v>2039</v>
      </c>
      <c r="F25" s="20">
        <f>SUM(C13:O13)</f>
        <v>2158</v>
      </c>
      <c r="G25" s="20">
        <f>SUM(C14:O14)</f>
        <v>5801</v>
      </c>
      <c r="H25" s="20">
        <f>SUM(C15:O15)</f>
        <v>13565</v>
      </c>
      <c r="I25" s="20">
        <f>SUM(C16:O16)</f>
        <v>3006</v>
      </c>
      <c r="J25" s="20">
        <f>SUM(C17:O17)</f>
        <v>3496</v>
      </c>
      <c r="K25" s="20">
        <f>SUM(C18:O18)</f>
        <v>8678</v>
      </c>
      <c r="L25" s="20">
        <f>SUM(C19:O19)</f>
        <v>7820</v>
      </c>
      <c r="M25" s="20">
        <f>SUM(C20:O20)</f>
        <v>244</v>
      </c>
      <c r="N25" s="20">
        <f>SUM(C21:O21)</f>
        <v>389</v>
      </c>
      <c r="O25" s="20">
        <f>SUM(C22:O22)</f>
        <v>191</v>
      </c>
    </row>
    <row r="26" spans="1:18" ht="15" customHeight="1" x14ac:dyDescent="0.35">
      <c r="B26" s="15" t="s">
        <v>30</v>
      </c>
      <c r="C26" s="18">
        <f>C24-C25</f>
        <v>-28</v>
      </c>
      <c r="D26" s="18">
        <f t="shared" ref="D26:O26" si="1">D24-D25</f>
        <v>-71</v>
      </c>
      <c r="E26" s="18">
        <f t="shared" si="1"/>
        <v>826</v>
      </c>
      <c r="F26" s="18">
        <f t="shared" si="1"/>
        <v>-362</v>
      </c>
      <c r="G26" s="18">
        <f t="shared" si="1"/>
        <v>-1579</v>
      </c>
      <c r="H26" s="18">
        <f t="shared" si="1"/>
        <v>-1598</v>
      </c>
      <c r="I26" s="18">
        <f t="shared" si="1"/>
        <v>-912</v>
      </c>
      <c r="J26" s="18">
        <f t="shared" si="1"/>
        <v>-867</v>
      </c>
      <c r="K26" s="18">
        <f t="shared" si="1"/>
        <v>3684</v>
      </c>
      <c r="L26" s="19">
        <f>L24-L25</f>
        <v>1227</v>
      </c>
      <c r="M26" s="18">
        <f t="shared" si="1"/>
        <v>-23</v>
      </c>
      <c r="N26" s="18">
        <f t="shared" si="1"/>
        <v>-168</v>
      </c>
      <c r="O26" s="18">
        <f t="shared" si="1"/>
        <v>-129</v>
      </c>
      <c r="P26" s="17"/>
    </row>
    <row r="27" spans="1:18" ht="15" customHeight="1" x14ac:dyDescent="0.35">
      <c r="B27" s="15" t="s">
        <v>29</v>
      </c>
      <c r="C27" s="18">
        <v>-236</v>
      </c>
      <c r="D27" s="18">
        <v>-286</v>
      </c>
      <c r="E27" s="18">
        <v>-1506</v>
      </c>
      <c r="F27" s="18">
        <v>19</v>
      </c>
      <c r="G27" s="18">
        <v>-20723</v>
      </c>
      <c r="H27" s="18">
        <v>-53938</v>
      </c>
      <c r="I27" s="18">
        <v>-1138</v>
      </c>
      <c r="J27" s="18">
        <v>546</v>
      </c>
      <c r="K27" s="18">
        <v>45</v>
      </c>
      <c r="L27" s="106">
        <v>-25585</v>
      </c>
      <c r="M27" s="18">
        <v>-28</v>
      </c>
      <c r="N27" s="18">
        <v>71</v>
      </c>
      <c r="O27" s="18">
        <v>36</v>
      </c>
      <c r="P27" s="83"/>
    </row>
    <row r="28" spans="1:18" ht="15" customHeight="1" thickBot="1" x14ac:dyDescent="0.4">
      <c r="B28" s="15" t="s">
        <v>28</v>
      </c>
      <c r="C28" s="18">
        <f>C26+C27</f>
        <v>-264</v>
      </c>
      <c r="D28" s="18">
        <f t="shared" ref="D28:K28" si="2">D26+D27</f>
        <v>-357</v>
      </c>
      <c r="E28" s="18">
        <f t="shared" si="2"/>
        <v>-680</v>
      </c>
      <c r="F28" s="18">
        <f t="shared" si="2"/>
        <v>-343</v>
      </c>
      <c r="G28" s="18">
        <f t="shared" si="2"/>
        <v>-22302</v>
      </c>
      <c r="H28" s="18">
        <f t="shared" si="2"/>
        <v>-55536</v>
      </c>
      <c r="I28" s="18">
        <f t="shared" si="2"/>
        <v>-2050</v>
      </c>
      <c r="J28" s="18">
        <f t="shared" si="2"/>
        <v>-321</v>
      </c>
      <c r="K28" s="18">
        <f t="shared" si="2"/>
        <v>3729</v>
      </c>
      <c r="L28" s="14">
        <f>L26+L27</f>
        <v>-24358</v>
      </c>
      <c r="M28" s="18">
        <f>M26+M27</f>
        <v>-51</v>
      </c>
      <c r="N28" s="18">
        <f t="shared" ref="N28:O28" si="3">N26+N27</f>
        <v>-97</v>
      </c>
      <c r="O28" s="18">
        <f t="shared" si="3"/>
        <v>-93</v>
      </c>
    </row>
    <row r="29" spans="1:18" ht="15" customHeight="1" x14ac:dyDescent="0.35"/>
    <row r="30" spans="1:18" ht="15" customHeight="1" x14ac:dyDescent="0.35">
      <c r="B30" s="4" t="s">
        <v>18</v>
      </c>
      <c r="C30" s="3" t="s">
        <v>17</v>
      </c>
      <c r="G30" s="12"/>
      <c r="H30" s="4" t="s">
        <v>12</v>
      </c>
      <c r="I30" s="3" t="s">
        <v>11</v>
      </c>
    </row>
    <row r="31" spans="1:18" ht="15" customHeight="1" x14ac:dyDescent="0.35">
      <c r="B31" s="4" t="s">
        <v>14</v>
      </c>
      <c r="C31" s="115">
        <v>46086</v>
      </c>
      <c r="D31" s="115"/>
      <c r="G31" s="12"/>
      <c r="H31" s="12"/>
      <c r="I31" s="12"/>
      <c r="J31" s="12"/>
      <c r="K31" s="12"/>
      <c r="L31" s="12"/>
    </row>
    <row r="32" spans="1:18" x14ac:dyDescent="0.35">
      <c r="B32" s="2"/>
      <c r="C32" s="1"/>
    </row>
    <row r="33" spans="3:15" x14ac:dyDescent="0.35">
      <c r="C33" s="83"/>
      <c r="D33" s="83"/>
      <c r="E33" s="83"/>
      <c r="F33" s="83"/>
      <c r="G33" s="83"/>
      <c r="H33" s="83"/>
      <c r="I33" s="83"/>
      <c r="J33" s="83"/>
      <c r="K33" s="83"/>
      <c r="L33" s="83"/>
      <c r="M33" s="83"/>
      <c r="N33" s="83"/>
      <c r="O33" s="83"/>
    </row>
    <row r="37" spans="3:15" x14ac:dyDescent="0.35">
      <c r="C37" s="87"/>
      <c r="D37" s="87"/>
      <c r="E37" s="87"/>
      <c r="F37" s="87"/>
      <c r="G37" s="87"/>
      <c r="H37" s="87"/>
      <c r="I37" s="87"/>
      <c r="J37" s="87"/>
      <c r="K37" s="87"/>
      <c r="L37" s="87"/>
      <c r="M37" s="87"/>
      <c r="N37" s="87"/>
      <c r="O37" s="87"/>
    </row>
  </sheetData>
  <mergeCells count="4">
    <mergeCell ref="A6:O6"/>
    <mergeCell ref="C8:O8"/>
    <mergeCell ref="A10:A22"/>
    <mergeCell ref="C31:D31"/>
  </mergeCells>
  <printOptions horizontalCentered="1" verticalCentered="1"/>
  <pageMargins left="0.39370078740157483" right="0.39370078740157483" top="0.74803149606299213" bottom="0.74803149606299213" header="0.31496062992125984" footer="0.31496062992125984"/>
  <pageSetup scale="8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BC migration (T2) (2)</vt:lpstr>
      <vt:lpstr>BC Non-Permanent Residents (T3)</vt:lpstr>
      <vt:lpstr>Net Interprovincial Flow (T1)</vt:lpstr>
      <vt:lpstr>'BC migration (T2) (2)'!Print_Area</vt:lpstr>
      <vt:lpstr>'Net Interprovincial Flow (T1)'!Print_Area</vt:lpstr>
      <vt:lpstr>'BC migration (T2) (2)'!Print_Titles</vt:lpstr>
      <vt:lpstr>'Net Interprovincial Flow (T1)'!Print_Titles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McDonald, Randy CITZ:EX</dc:creator>
  <cp:lastModifiedBy>Naji, Mehdi JEG:EX</cp:lastModifiedBy>
  <cp:lastPrinted>2024-01-29T23:50:39Z</cp:lastPrinted>
  <dcterms:created xsi:type="dcterms:W3CDTF">2023-10-06T00:51:51Z</dcterms:created>
  <dcterms:modified xsi:type="dcterms:W3CDTF">2026-04-22T00:00:47Z</dcterms:modified>
</cp:coreProperties>
</file>